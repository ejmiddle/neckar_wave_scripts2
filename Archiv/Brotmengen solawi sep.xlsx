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sschmidt/Library/CloudStorage/GoogleDrive-billing@suedseite.coffee/Geteilte Ablagen/Shared - Hugo   Andi  /[04] Kunden/[02] Kunden/Solawi/2025-09-13 Abrechnung/"/>
    </mc:Choice>
  </mc:AlternateContent>
  <xr:revisionPtr revIDLastSave="0" documentId="13_ncr:1_{FC4F47A8-BFA7-A749-B989-BE418E9B9D44}" xr6:coauthVersionLast="47" xr6:coauthVersionMax="47" xr10:uidLastSave="{00000000-0000-0000-0000-000000000000}"/>
  <bookViews>
    <workbookView xWindow="0" yWindow="700" windowWidth="27040" windowHeight="15740" activeTab="1" xr2:uid="{731B877B-41E3-B04B-B93F-EE4B6272E018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2" l="1"/>
  <c r="H45" i="2" s="1"/>
  <c r="G21" i="2"/>
  <c r="G45" i="2" s="1"/>
  <c r="F21" i="2"/>
  <c r="F45" i="2" s="1"/>
  <c r="E21" i="2"/>
  <c r="E45" i="2" s="1"/>
  <c r="D21" i="2"/>
  <c r="D45" i="2" s="1"/>
  <c r="C21" i="2"/>
  <c r="C45" i="2" s="1"/>
  <c r="H20" i="2"/>
  <c r="H44" i="2" s="1"/>
  <c r="G20" i="2"/>
  <c r="G44" i="2" s="1"/>
  <c r="F20" i="2"/>
  <c r="F44" i="2" s="1"/>
  <c r="E20" i="2"/>
  <c r="E44" i="2" s="1"/>
  <c r="D20" i="2"/>
  <c r="D44" i="2" s="1"/>
  <c r="C20" i="2"/>
  <c r="C44" i="2" s="1"/>
  <c r="H19" i="2"/>
  <c r="H43" i="2" s="1"/>
  <c r="G19" i="2"/>
  <c r="G43" i="2" s="1"/>
  <c r="F19" i="2"/>
  <c r="F43" i="2" s="1"/>
  <c r="E19" i="2"/>
  <c r="E43" i="2" s="1"/>
  <c r="D19" i="2"/>
  <c r="D43" i="2" s="1"/>
  <c r="C19" i="2"/>
  <c r="C43" i="2" s="1"/>
  <c r="H18" i="2"/>
  <c r="H42" i="2" s="1"/>
  <c r="G18" i="2"/>
  <c r="G42" i="2" s="1"/>
  <c r="F18" i="2"/>
  <c r="F42" i="2" s="1"/>
  <c r="E18" i="2"/>
  <c r="E42" i="2" s="1"/>
  <c r="D18" i="2"/>
  <c r="D42" i="2" s="1"/>
  <c r="C18" i="2"/>
  <c r="C42" i="2" s="1"/>
  <c r="H17" i="2"/>
  <c r="H41" i="2" s="1"/>
  <c r="G17" i="2"/>
  <c r="G41" i="2" s="1"/>
  <c r="F17" i="2"/>
  <c r="F41" i="2" s="1"/>
  <c r="E17" i="2"/>
  <c r="E41" i="2" s="1"/>
  <c r="D17" i="2"/>
  <c r="D41" i="2" s="1"/>
  <c r="C17" i="2"/>
  <c r="C41" i="2" s="1"/>
  <c r="H16" i="2"/>
  <c r="H40" i="2" s="1"/>
  <c r="G16" i="2"/>
  <c r="G40" i="2" s="1"/>
  <c r="F16" i="2"/>
  <c r="F40" i="2" s="1"/>
  <c r="E16" i="2"/>
  <c r="E40" i="2" s="1"/>
  <c r="D16" i="2"/>
  <c r="D40" i="2" s="1"/>
  <c r="C16" i="2"/>
  <c r="C40" i="2" s="1"/>
  <c r="H15" i="2"/>
  <c r="H39" i="2" s="1"/>
  <c r="G15" i="2"/>
  <c r="G39" i="2" s="1"/>
  <c r="F15" i="2"/>
  <c r="F39" i="2" s="1"/>
  <c r="E15" i="2"/>
  <c r="E39" i="2" s="1"/>
  <c r="D15" i="2"/>
  <c r="D39" i="2" s="1"/>
  <c r="C15" i="2"/>
  <c r="C39" i="2" s="1"/>
  <c r="H14" i="2"/>
  <c r="H38" i="2" s="1"/>
  <c r="G14" i="2"/>
  <c r="G38" i="2" s="1"/>
  <c r="F14" i="2"/>
  <c r="F38" i="2" s="1"/>
  <c r="E14" i="2"/>
  <c r="E38" i="2" s="1"/>
  <c r="D14" i="2"/>
  <c r="D38" i="2" s="1"/>
  <c r="C14" i="2"/>
  <c r="C38" i="2" s="1"/>
  <c r="H13" i="2"/>
  <c r="H37" i="2" s="1"/>
  <c r="G13" i="2"/>
  <c r="G37" i="2" s="1"/>
  <c r="F13" i="2"/>
  <c r="F37" i="2" s="1"/>
  <c r="E13" i="2"/>
  <c r="E37" i="2" s="1"/>
  <c r="D13" i="2"/>
  <c r="D37" i="2" s="1"/>
  <c r="C13" i="2"/>
  <c r="C37" i="2" s="1"/>
  <c r="H12" i="2"/>
  <c r="H36" i="2" s="1"/>
  <c r="G12" i="2"/>
  <c r="G36" i="2" s="1"/>
  <c r="F12" i="2"/>
  <c r="F36" i="2" s="1"/>
  <c r="E12" i="2"/>
  <c r="E36" i="2" s="1"/>
  <c r="D12" i="2"/>
  <c r="D36" i="2" s="1"/>
  <c r="C12" i="2"/>
  <c r="C36" i="2" s="1"/>
  <c r="H11" i="2"/>
  <c r="H35" i="2" s="1"/>
  <c r="G11" i="2"/>
  <c r="G35" i="2" s="1"/>
  <c r="F11" i="2"/>
  <c r="F35" i="2" s="1"/>
  <c r="E11" i="2"/>
  <c r="E35" i="2" s="1"/>
  <c r="D11" i="2"/>
  <c r="D35" i="2" s="1"/>
  <c r="C11" i="2"/>
  <c r="C35" i="2" s="1"/>
  <c r="H10" i="2"/>
  <c r="H34" i="2" s="1"/>
  <c r="G10" i="2"/>
  <c r="G34" i="2" s="1"/>
  <c r="F10" i="2"/>
  <c r="F34" i="2" s="1"/>
  <c r="E10" i="2"/>
  <c r="E34" i="2" s="1"/>
  <c r="D10" i="2"/>
  <c r="D34" i="2" s="1"/>
  <c r="C10" i="2"/>
  <c r="C34" i="2" s="1"/>
  <c r="H9" i="2"/>
  <c r="H33" i="2" s="1"/>
  <c r="G9" i="2"/>
  <c r="G33" i="2" s="1"/>
  <c r="F9" i="2"/>
  <c r="F33" i="2" s="1"/>
  <c r="E9" i="2"/>
  <c r="E33" i="2" s="1"/>
  <c r="D9" i="2"/>
  <c r="D33" i="2" s="1"/>
  <c r="C9" i="2"/>
  <c r="C33" i="2" s="1"/>
  <c r="H8" i="2"/>
  <c r="H32" i="2" s="1"/>
  <c r="G8" i="2"/>
  <c r="G32" i="2" s="1"/>
  <c r="F8" i="2"/>
  <c r="F32" i="2" s="1"/>
  <c r="E8" i="2"/>
  <c r="E32" i="2" s="1"/>
  <c r="D8" i="2"/>
  <c r="D32" i="2" s="1"/>
  <c r="C8" i="2"/>
  <c r="C32" i="2" s="1"/>
  <c r="H7" i="2"/>
  <c r="H31" i="2" s="1"/>
  <c r="G7" i="2"/>
  <c r="G31" i="2" s="1"/>
  <c r="F7" i="2"/>
  <c r="F31" i="2" s="1"/>
  <c r="E7" i="2"/>
  <c r="E31" i="2" s="1"/>
  <c r="D7" i="2"/>
  <c r="D31" i="2" s="1"/>
  <c r="C7" i="2"/>
  <c r="C31" i="2" s="1"/>
  <c r="H6" i="2"/>
  <c r="H30" i="2" s="1"/>
  <c r="G6" i="2"/>
  <c r="G30" i="2" s="1"/>
  <c r="F6" i="2"/>
  <c r="F30" i="2" s="1"/>
  <c r="E6" i="2"/>
  <c r="E30" i="2" s="1"/>
  <c r="D6" i="2"/>
  <c r="D30" i="2" s="1"/>
  <c r="C6" i="2"/>
  <c r="C30" i="2" s="1"/>
  <c r="H5" i="2"/>
  <c r="H29" i="2" s="1"/>
  <c r="G5" i="2"/>
  <c r="G29" i="2" s="1"/>
  <c r="F5" i="2"/>
  <c r="F29" i="2" s="1"/>
  <c r="E5" i="2"/>
  <c r="E29" i="2" s="1"/>
  <c r="D5" i="2"/>
  <c r="D29" i="2" s="1"/>
  <c r="C5" i="2"/>
  <c r="C29" i="2" s="1"/>
  <c r="H4" i="2"/>
  <c r="H28" i="2" s="1"/>
  <c r="G4" i="2"/>
  <c r="G28" i="2" s="1"/>
  <c r="F4" i="2"/>
  <c r="F28" i="2" s="1"/>
  <c r="E4" i="2"/>
  <c r="E28" i="2" s="1"/>
  <c r="D4" i="2"/>
  <c r="D28" i="2" s="1"/>
  <c r="C4" i="2"/>
  <c r="C28" i="2" s="1"/>
  <c r="H3" i="2"/>
  <c r="H27" i="2" s="1"/>
  <c r="G3" i="2"/>
  <c r="G27" i="2" s="1"/>
  <c r="F3" i="2"/>
  <c r="F27" i="2" s="1"/>
  <c r="E3" i="2"/>
  <c r="E27" i="2" s="1"/>
  <c r="D3" i="2"/>
  <c r="D27" i="2" s="1"/>
  <c r="C3" i="2"/>
  <c r="C27" i="2" s="1"/>
  <c r="H2" i="2"/>
  <c r="H26" i="2" s="1"/>
  <c r="G2" i="2"/>
  <c r="G26" i="2" s="1"/>
  <c r="F2" i="2"/>
  <c r="F26" i="2" s="1"/>
  <c r="E2" i="2"/>
  <c r="E26" i="2" s="1"/>
  <c r="D2" i="2"/>
  <c r="D26" i="2" s="1"/>
  <c r="C2" i="2"/>
  <c r="C26" i="2" s="1"/>
  <c r="J26" i="2" l="1"/>
  <c r="J30" i="2"/>
  <c r="J34" i="2"/>
  <c r="J38" i="2"/>
  <c r="J42" i="2"/>
  <c r="J27" i="2"/>
  <c r="J31" i="2"/>
  <c r="J35" i="2"/>
  <c r="J39" i="2"/>
  <c r="J43" i="2"/>
  <c r="J37" i="2"/>
  <c r="J29" i="2"/>
  <c r="J33" i="2"/>
  <c r="J41" i="2"/>
  <c r="J45" i="2"/>
  <c r="J28" i="2"/>
  <c r="J32" i="2"/>
  <c r="J36" i="2"/>
  <c r="J40" i="2"/>
  <c r="J44" i="2"/>
  <c r="J49" i="2" l="1"/>
</calcChain>
</file>

<file path=xl/sharedStrings.xml><?xml version="1.0" encoding="utf-8"?>
<sst xmlns="http://schemas.openxmlformats.org/spreadsheetml/2006/main" count="93" uniqueCount="46">
  <si>
    <t>elfi-korten@gmx.de</t>
  </si>
  <si>
    <t>jklofregtag@gmail.com</t>
  </si>
  <si>
    <t>nj93@gmx.de</t>
  </si>
  <si>
    <t>doris.eich@gmx.de</t>
  </si>
  <si>
    <t>familie@reicht.pro</t>
  </si>
  <si>
    <t>Name</t>
  </si>
  <si>
    <t>seg@posteo.de</t>
  </si>
  <si>
    <t>perlenhülte@web.de</t>
  </si>
  <si>
    <t>m thum</t>
  </si>
  <si>
    <t>ignaz reicht</t>
  </si>
  <si>
    <t>max ofer</t>
  </si>
  <si>
    <t>Marie Cox</t>
  </si>
  <si>
    <t>Junke Kleinweiler</t>
  </si>
  <si>
    <t>martina franke</t>
  </si>
  <si>
    <t>annas.emails@gmx.com</t>
  </si>
  <si>
    <t>Nadine Held</t>
  </si>
  <si>
    <t>doris sprißler eich</t>
  </si>
  <si>
    <t>Susanne.pflueger.hd@gmail.com</t>
  </si>
  <si>
    <t>martina.franke-schaub@web.de</t>
  </si>
  <si>
    <t>thum.martina@gmail.com</t>
  </si>
  <si>
    <t>Garcia.samuel@gmx.de</t>
  </si>
  <si>
    <t>Korten</t>
  </si>
  <si>
    <t>freda.fuchs@posteo.de</t>
  </si>
  <si>
    <t>thorbjoern.held@gmail.com</t>
  </si>
  <si>
    <t>Steffi Eggestein</t>
  </si>
  <si>
    <t>berndoberle@web.de</t>
  </si>
  <si>
    <t>Anna Zimmer</t>
  </si>
  <si>
    <t>Bernd Oberle</t>
  </si>
  <si>
    <t>mariecox@live.de</t>
  </si>
  <si>
    <t>ofer.maximilian@gmail.com</t>
  </si>
  <si>
    <t>???</t>
  </si>
  <si>
    <t>Johannes und Freda Fuchs</t>
  </si>
  <si>
    <t>Classico</t>
  </si>
  <si>
    <t>Rustico</t>
  </si>
  <si>
    <t>Sesam</t>
  </si>
  <si>
    <t>Vollkorn</t>
  </si>
  <si>
    <t>Roggen</t>
  </si>
  <si>
    <t>Zimt</t>
  </si>
  <si>
    <t>Spalte1</t>
  </si>
  <si>
    <t>Mail</t>
  </si>
  <si>
    <t>h.stehr@gmx.net</t>
  </si>
  <si>
    <t>Bezahlt?</t>
  </si>
  <si>
    <t>gehört zu jspflueger@freenet.de)</t>
  </si>
  <si>
    <t>lisa zinkwe (zinkwelisa@gmail.com)</t>
  </si>
  <si>
    <t>polleva@gmail.com</t>
  </si>
  <si>
    <t>rhansen@mailbox.org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</si>
</sst>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07]_-;\-* #,##0.00\ [$€-407]_-;_-* &quot;-&quot;??\ [$€-407]_-;_-@_-"/>
  </numFmts>
  <fonts count="6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1"/>
    <xf numFmtId="0" fontId="2" fillId="3" borderId="2" xfId="0" applyFont="1" applyFill="1" applyBorder="1"/>
    <xf numFmtId="0" fontId="0" fillId="0" borderId="2" xfId="0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1" fillId="4" borderId="4" xfId="1" applyFill="1" applyBorder="1"/>
    <xf numFmtId="0" fontId="0" fillId="4" borderId="5" xfId="0" applyFill="1" applyBorder="1"/>
    <xf numFmtId="0" fontId="1" fillId="0" borderId="4" xfId="1" applyBorder="1"/>
    <xf numFmtId="0" fontId="0" fillId="0" borderId="5" xfId="0" applyBorder="1"/>
    <xf numFmtId="0" fontId="1" fillId="4" borderId="4" xfId="1" applyFill="1" applyBorder="1" applyAlignment="1">
      <alignment horizontal="left"/>
    </xf>
    <xf numFmtId="0" fontId="1" fillId="0" borderId="4" xfId="1" applyBorder="1" applyAlignment="1">
      <alignment horizontal="left"/>
    </xf>
    <xf numFmtId="0" fontId="0" fillId="0" borderId="4" xfId="0" applyBorder="1"/>
    <xf numFmtId="164" fontId="3" fillId="0" borderId="0" xfId="0" applyNumberFormat="1" applyFont="1"/>
    <xf numFmtId="164" fontId="0" fillId="0" borderId="0" xfId="0" applyNumberFormat="1"/>
    <xf numFmtId="0" fontId="1" fillId="0" borderId="1" xfId="1" applyBorder="1"/>
    <xf numFmtId="0" fontId="0" fillId="0" borderId="2" xfId="0" applyFill="1" applyBorder="1"/>
    <xf numFmtId="0" fontId="4" fillId="3" borderId="5" xfId="0" applyFont="1" applyFill="1" applyBorder="1"/>
    <xf numFmtId="0" fontId="5" fillId="4" borderId="5" xfId="0" applyFont="1" applyFill="1" applyBorder="1"/>
    <xf numFmtId="0" fontId="5" fillId="0" borderId="5" xfId="0" applyFont="1" applyBorder="1"/>
    <xf numFmtId="0" fontId="5" fillId="2" borderId="5" xfId="0" applyFont="1" applyFill="1" applyBorder="1"/>
    <xf numFmtId="0" fontId="5" fillId="4" borderId="5" xfId="0" applyFont="1" applyFill="1" applyBorder="1" applyAlignment="1">
      <alignment horizontal="left"/>
    </xf>
    <xf numFmtId="0" fontId="5" fillId="2" borderId="2" xfId="0" applyFont="1" applyFill="1" applyBorder="1"/>
    <xf numFmtId="0" fontId="5" fillId="0" borderId="0" xfId="0" applyFont="1"/>
    <xf numFmtId="0" fontId="0" fillId="0" borderId="5" xfId="0" applyFont="1" applyBorder="1"/>
  </cellXfs>
  <cellStyles count="2">
    <cellStyle name="Link" xfId="1" builtinId="8"/>
    <cellStyle name="Standard" xfId="0" builtinId="0"/>
  </cellStyles>
  <dxfs count="9"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right style="thin">
          <color theme="4" tint="0.3999755851924192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D6E2E8-70A8-5C49-9590-A3015E034907}" name="Tabelle2" displayName="Tabelle2" ref="A1:I21" totalsRowShown="0" headerRowDxfId="8" dataDxfId="7" tableBorderDxfId="6">
  <autoFilter ref="A1:I21" xr:uid="{0ED6E2E8-70A8-5C49-9590-A3015E034907}"/>
  <tableColumns count="9">
    <tableColumn id="1" xr3:uid="{0CD4D7C9-0179-1148-AAA9-0A2D955F85B4}" name="Spalte1"/>
    <tableColumn id="2" xr3:uid="{79AB919F-3570-BE48-AEC5-E736BFE149E0}" name="Mail"/>
    <tableColumn id="3" xr3:uid="{EBBFEBA3-4BA6-2649-A70A-6999179F7C93}" name="Name" dataDxfId="0"/>
    <tableColumn id="4" xr3:uid="{7F8BFD05-7DFE-514C-A470-32545B753AFC}" name="Classico"/>
    <tableColumn id="5" xr3:uid="{F1DAF0E5-EFF9-B246-90F8-AE3CAAF4297E}" name="Rustico" dataDxfId="5"/>
    <tableColumn id="6" xr3:uid="{156CC0F4-FDBF-4345-8EEC-C7BC4F788D90}" name="Sesam" dataDxfId="4"/>
    <tableColumn id="7" xr3:uid="{374D6BC3-B6F2-4F42-A12E-E2928F8BB61C}" name="Vollkorn" dataDxfId="3"/>
    <tableColumn id="8" xr3:uid="{F9053020-2519-AA48-9AC5-555E2A0A7971}" name="Roggen" dataDxfId="2"/>
    <tableColumn id="9" xr3:uid="{874775B8-2CDF-914C-8FD1-C3D1FB9D2627}" name="Zim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eg@posteo.de" TargetMode="External"/><Relationship Id="rId13" Type="http://schemas.openxmlformats.org/officeDocument/2006/relationships/hyperlink" Target="mailto:Garcia.samuel@gmx.de" TargetMode="External"/><Relationship Id="rId18" Type="http://schemas.openxmlformats.org/officeDocument/2006/relationships/hyperlink" Target="mailto:polleva@gmail.com" TargetMode="External"/><Relationship Id="rId3" Type="http://schemas.openxmlformats.org/officeDocument/2006/relationships/hyperlink" Target="mailto:nj93@gmx.de" TargetMode="External"/><Relationship Id="rId21" Type="http://schemas.openxmlformats.org/officeDocument/2006/relationships/table" Target="../tables/table1.xml"/><Relationship Id="rId7" Type="http://schemas.openxmlformats.org/officeDocument/2006/relationships/hyperlink" Target="mailto:familie@reicht.pro" TargetMode="External"/><Relationship Id="rId12" Type="http://schemas.openxmlformats.org/officeDocument/2006/relationships/hyperlink" Target="mailto:martina.franke-schaub@web.de" TargetMode="External"/><Relationship Id="rId17" Type="http://schemas.openxmlformats.org/officeDocument/2006/relationships/hyperlink" Target="mailto:ofer.maximilian@gmail.com" TargetMode="External"/><Relationship Id="rId2" Type="http://schemas.openxmlformats.org/officeDocument/2006/relationships/hyperlink" Target="mailto:jklofregtag@gmail.com" TargetMode="External"/><Relationship Id="rId16" Type="http://schemas.openxmlformats.org/officeDocument/2006/relationships/hyperlink" Target="mailto:mariecox@live.de" TargetMode="External"/><Relationship Id="rId20" Type="http://schemas.openxmlformats.org/officeDocument/2006/relationships/hyperlink" Target="mailto:rhansen@mailbox.org" TargetMode="External"/><Relationship Id="rId1" Type="http://schemas.openxmlformats.org/officeDocument/2006/relationships/hyperlink" Target="mailto:elfi-korten@gmx.de" TargetMode="External"/><Relationship Id="rId6" Type="http://schemas.openxmlformats.org/officeDocument/2006/relationships/hyperlink" Target="mailto:annas.emails@gmx.com" TargetMode="External"/><Relationship Id="rId11" Type="http://schemas.openxmlformats.org/officeDocument/2006/relationships/hyperlink" Target="mailto:Susanne.pflueger.hd@gmail.com" TargetMode="External"/><Relationship Id="rId5" Type="http://schemas.openxmlformats.org/officeDocument/2006/relationships/hyperlink" Target="mailto:doris.eich@gmx.de" TargetMode="External"/><Relationship Id="rId15" Type="http://schemas.openxmlformats.org/officeDocument/2006/relationships/hyperlink" Target="mailto:thorbjoern.held@gmail.com" TargetMode="External"/><Relationship Id="rId10" Type="http://schemas.openxmlformats.org/officeDocument/2006/relationships/hyperlink" Target="mailto:thum.martina@gmail.com" TargetMode="External"/><Relationship Id="rId19" Type="http://schemas.openxmlformats.org/officeDocument/2006/relationships/hyperlink" Target="mailto:h.stehr@gmx.net" TargetMode="External"/><Relationship Id="rId4" Type="http://schemas.openxmlformats.org/officeDocument/2006/relationships/hyperlink" Target="mailto:berndoberle@web.de" TargetMode="External"/><Relationship Id="rId9" Type="http://schemas.openxmlformats.org/officeDocument/2006/relationships/hyperlink" Target="mailto:perlenh&#252;lte@web.de" TargetMode="External"/><Relationship Id="rId14" Type="http://schemas.openxmlformats.org/officeDocument/2006/relationships/hyperlink" Target="mailto:freda.fuchs@posteo.de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familie@reicht.pro" TargetMode="External"/><Relationship Id="rId18" Type="http://schemas.openxmlformats.org/officeDocument/2006/relationships/hyperlink" Target="mailto:jklofregtag@gmail.com" TargetMode="External"/><Relationship Id="rId26" Type="http://schemas.openxmlformats.org/officeDocument/2006/relationships/hyperlink" Target="mailto:Garcia.samuel@gmx.de" TargetMode="External"/><Relationship Id="rId21" Type="http://schemas.openxmlformats.org/officeDocument/2006/relationships/hyperlink" Target="mailto:julianehorsch@gmail.com" TargetMode="External"/><Relationship Id="rId34" Type="http://schemas.openxmlformats.org/officeDocument/2006/relationships/hyperlink" Target="mailto:doris.eich@gmx.de" TargetMode="External"/><Relationship Id="rId7" Type="http://schemas.openxmlformats.org/officeDocument/2006/relationships/hyperlink" Target="mailto:Garcia.samuel@gmx.de" TargetMode="External"/><Relationship Id="rId12" Type="http://schemas.openxmlformats.org/officeDocument/2006/relationships/hyperlink" Target="mailto:seg@posteo.de" TargetMode="External"/><Relationship Id="rId17" Type="http://schemas.openxmlformats.org/officeDocument/2006/relationships/hyperlink" Target="mailto:nj93@gmx.de" TargetMode="External"/><Relationship Id="rId25" Type="http://schemas.openxmlformats.org/officeDocument/2006/relationships/hyperlink" Target="mailto:freda.fuchs@posteo.de" TargetMode="External"/><Relationship Id="rId33" Type="http://schemas.openxmlformats.org/officeDocument/2006/relationships/hyperlink" Target="mailto:annas.emails@gmx.com" TargetMode="External"/><Relationship Id="rId38" Type="http://schemas.openxmlformats.org/officeDocument/2006/relationships/hyperlink" Target="mailto:elfi-korten@gmx.de" TargetMode="External"/><Relationship Id="rId2" Type="http://schemas.openxmlformats.org/officeDocument/2006/relationships/hyperlink" Target="mailto:julianehorsch@gmail.com" TargetMode="External"/><Relationship Id="rId16" Type="http://schemas.openxmlformats.org/officeDocument/2006/relationships/hyperlink" Target="mailto:berndoberle@web.de" TargetMode="External"/><Relationship Id="rId20" Type="http://schemas.openxmlformats.org/officeDocument/2006/relationships/hyperlink" Target="mailto:h.stehr@gmx.net" TargetMode="External"/><Relationship Id="rId29" Type="http://schemas.openxmlformats.org/officeDocument/2006/relationships/hyperlink" Target="mailto:thum.martina@gmail.com" TargetMode="External"/><Relationship Id="rId1" Type="http://schemas.openxmlformats.org/officeDocument/2006/relationships/hyperlink" Target="mailto:h.stehr@gmx.net" TargetMode="External"/><Relationship Id="rId6" Type="http://schemas.openxmlformats.org/officeDocument/2006/relationships/hyperlink" Target="mailto:freda.fuchs@posteo.de" TargetMode="External"/><Relationship Id="rId11" Type="http://schemas.openxmlformats.org/officeDocument/2006/relationships/hyperlink" Target="mailto:perlenh&#252;lte@web.de" TargetMode="External"/><Relationship Id="rId24" Type="http://schemas.openxmlformats.org/officeDocument/2006/relationships/hyperlink" Target="mailto:thorbjoern.held@gmail.com" TargetMode="External"/><Relationship Id="rId32" Type="http://schemas.openxmlformats.org/officeDocument/2006/relationships/hyperlink" Target="mailto:familie@reicht.pro" TargetMode="External"/><Relationship Id="rId37" Type="http://schemas.openxmlformats.org/officeDocument/2006/relationships/hyperlink" Target="mailto:jklofregtag@gmail.com" TargetMode="External"/><Relationship Id="rId5" Type="http://schemas.openxmlformats.org/officeDocument/2006/relationships/hyperlink" Target="mailto:thorbjoern.held@gmail.com" TargetMode="External"/><Relationship Id="rId15" Type="http://schemas.openxmlformats.org/officeDocument/2006/relationships/hyperlink" Target="mailto:doris.eich@gmx.de" TargetMode="External"/><Relationship Id="rId23" Type="http://schemas.openxmlformats.org/officeDocument/2006/relationships/hyperlink" Target="mailto:mariecox@live.de" TargetMode="External"/><Relationship Id="rId28" Type="http://schemas.openxmlformats.org/officeDocument/2006/relationships/hyperlink" Target="mailto:Susanne.pflueger.hd@gmail.com" TargetMode="External"/><Relationship Id="rId36" Type="http://schemas.openxmlformats.org/officeDocument/2006/relationships/hyperlink" Target="mailto:nj93@gmx.de" TargetMode="External"/><Relationship Id="rId10" Type="http://schemas.openxmlformats.org/officeDocument/2006/relationships/hyperlink" Target="mailto:thum.martina@gmail.com" TargetMode="External"/><Relationship Id="rId19" Type="http://schemas.openxmlformats.org/officeDocument/2006/relationships/hyperlink" Target="mailto:elfi-korten@gmx.de" TargetMode="External"/><Relationship Id="rId31" Type="http://schemas.openxmlformats.org/officeDocument/2006/relationships/hyperlink" Target="mailto:seg@posteo.de" TargetMode="External"/><Relationship Id="rId4" Type="http://schemas.openxmlformats.org/officeDocument/2006/relationships/hyperlink" Target="mailto:mariecox@live.de" TargetMode="External"/><Relationship Id="rId9" Type="http://schemas.openxmlformats.org/officeDocument/2006/relationships/hyperlink" Target="mailto:Susanne.pflueger.hd@gmail.com" TargetMode="External"/><Relationship Id="rId14" Type="http://schemas.openxmlformats.org/officeDocument/2006/relationships/hyperlink" Target="mailto:annas.emails@gmx.com" TargetMode="External"/><Relationship Id="rId22" Type="http://schemas.openxmlformats.org/officeDocument/2006/relationships/hyperlink" Target="mailto:ofer.maximilian@gmail.com" TargetMode="External"/><Relationship Id="rId27" Type="http://schemas.openxmlformats.org/officeDocument/2006/relationships/hyperlink" Target="mailto:martina.franke-schaub@web.de" TargetMode="External"/><Relationship Id="rId30" Type="http://schemas.openxmlformats.org/officeDocument/2006/relationships/hyperlink" Target="mailto:perlenh&#252;lte@web.de" TargetMode="External"/><Relationship Id="rId35" Type="http://schemas.openxmlformats.org/officeDocument/2006/relationships/hyperlink" Target="mailto:berndoberle@web.de" TargetMode="External"/><Relationship Id="rId8" Type="http://schemas.openxmlformats.org/officeDocument/2006/relationships/hyperlink" Target="mailto:martina.franke-schaub@web.de" TargetMode="External"/><Relationship Id="rId3" Type="http://schemas.openxmlformats.org/officeDocument/2006/relationships/hyperlink" Target="mailto:ofer.maximili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8207E-A96F-6542-90AD-05BB1C006870}">
  <dimension ref="A1:I21"/>
  <sheetViews>
    <sheetView zoomScale="137" zoomScaleNormal="170" workbookViewId="0">
      <selection activeCell="L9" sqref="L9"/>
    </sheetView>
  </sheetViews>
  <sheetFormatPr baseColWidth="10" defaultRowHeight="16" x14ac:dyDescent="0.2"/>
  <cols>
    <col min="1" max="1" width="6.1640625" customWidth="1"/>
    <col min="2" max="2" width="27.6640625" customWidth="1"/>
    <col min="3" max="3" width="14" style="24" customWidth="1"/>
    <col min="4" max="4" width="9.33203125" customWidth="1"/>
    <col min="5" max="5" width="8.5" customWidth="1"/>
    <col min="6" max="6" width="8" customWidth="1"/>
    <col min="7" max="7" width="9.1640625" customWidth="1"/>
    <col min="8" max="8" width="8.33203125" customWidth="1"/>
    <col min="9" max="9" width="7" customWidth="1"/>
  </cols>
  <sheetData>
    <row r="1" spans="1:9" x14ac:dyDescent="0.2">
      <c r="A1" t="s">
        <v>38</v>
      </c>
      <c r="B1" s="5" t="s">
        <v>39</v>
      </c>
      <c r="C1" s="18" t="s">
        <v>5</v>
      </c>
      <c r="D1" s="6" t="s">
        <v>32</v>
      </c>
      <c r="E1" s="6" t="s">
        <v>33</v>
      </c>
      <c r="F1" s="6" t="s">
        <v>34</v>
      </c>
      <c r="G1" s="6" t="s">
        <v>35</v>
      </c>
      <c r="H1" s="6" t="s">
        <v>36</v>
      </c>
      <c r="I1" s="6" t="s">
        <v>37</v>
      </c>
    </row>
    <row r="2" spans="1:9" x14ac:dyDescent="0.2">
      <c r="A2">
        <v>1</v>
      </c>
      <c r="B2" s="7" t="s">
        <v>14</v>
      </c>
      <c r="C2" s="19" t="s">
        <v>26</v>
      </c>
      <c r="D2" s="8"/>
      <c r="E2" s="8"/>
      <c r="F2" s="8"/>
      <c r="G2" s="8"/>
      <c r="H2" s="8"/>
      <c r="I2" s="8"/>
    </row>
    <row r="3" spans="1:9" x14ac:dyDescent="0.2">
      <c r="A3">
        <v>1</v>
      </c>
      <c r="B3" s="9" t="s">
        <v>25</v>
      </c>
      <c r="C3" s="20" t="s">
        <v>27</v>
      </c>
      <c r="D3" s="10"/>
      <c r="E3" s="10"/>
      <c r="F3" s="10"/>
      <c r="G3" s="10"/>
      <c r="H3" s="10"/>
      <c r="I3" s="10"/>
    </row>
    <row r="4" spans="1:9" x14ac:dyDescent="0.2">
      <c r="A4">
        <v>1</v>
      </c>
      <c r="B4" s="7" t="s">
        <v>3</v>
      </c>
      <c r="C4" s="19" t="s">
        <v>16</v>
      </c>
      <c r="D4" s="8"/>
      <c r="E4" s="8">
        <v>1</v>
      </c>
      <c r="F4" s="8"/>
      <c r="G4" s="8"/>
      <c r="H4" s="8">
        <v>1</v>
      </c>
      <c r="I4" s="8">
        <v>3</v>
      </c>
    </row>
    <row r="5" spans="1:9" x14ac:dyDescent="0.2">
      <c r="A5">
        <v>1</v>
      </c>
      <c r="B5" s="9" t="s">
        <v>0</v>
      </c>
      <c r="C5" s="20" t="s">
        <v>21</v>
      </c>
      <c r="D5" s="10">
        <v>1</v>
      </c>
      <c r="E5" s="10"/>
      <c r="F5" s="10"/>
      <c r="G5" s="10"/>
      <c r="H5" s="10"/>
      <c r="I5" s="10"/>
    </row>
    <row r="6" spans="1:9" x14ac:dyDescent="0.2">
      <c r="A6">
        <v>1</v>
      </c>
      <c r="B6" s="7" t="s">
        <v>4</v>
      </c>
      <c r="C6" s="19" t="s">
        <v>9</v>
      </c>
      <c r="D6" s="8"/>
      <c r="E6" s="8">
        <v>1</v>
      </c>
      <c r="F6" s="8"/>
      <c r="G6" s="8"/>
      <c r="H6" s="8">
        <v>2</v>
      </c>
      <c r="I6" s="8"/>
    </row>
    <row r="7" spans="1:9" x14ac:dyDescent="0.2">
      <c r="A7">
        <v>1</v>
      </c>
      <c r="B7" s="9" t="s">
        <v>22</v>
      </c>
      <c r="C7" s="20" t="s">
        <v>31</v>
      </c>
      <c r="D7" s="10"/>
      <c r="E7" s="10"/>
      <c r="F7" s="10"/>
      <c r="G7" s="10"/>
      <c r="H7" s="10">
        <v>1</v>
      </c>
      <c r="I7" s="10">
        <v>1</v>
      </c>
    </row>
    <row r="8" spans="1:9" x14ac:dyDescent="0.2">
      <c r="A8">
        <v>1</v>
      </c>
      <c r="B8" s="7" t="s">
        <v>20</v>
      </c>
      <c r="C8" s="19" t="s">
        <v>43</v>
      </c>
      <c r="D8" s="8"/>
      <c r="E8" s="8"/>
      <c r="F8" s="8"/>
      <c r="G8" s="8"/>
      <c r="H8" s="8"/>
      <c r="I8" s="8"/>
    </row>
    <row r="9" spans="1:9" x14ac:dyDescent="0.2">
      <c r="A9">
        <v>1</v>
      </c>
      <c r="B9" s="9" t="s">
        <v>1</v>
      </c>
      <c r="C9" s="21" t="s">
        <v>30</v>
      </c>
      <c r="D9" s="10"/>
      <c r="E9" s="10"/>
      <c r="F9" s="10"/>
      <c r="G9" s="10"/>
      <c r="H9" s="10"/>
      <c r="I9" s="10"/>
    </row>
    <row r="10" spans="1:9" x14ac:dyDescent="0.2">
      <c r="A10">
        <v>1</v>
      </c>
      <c r="B10" s="11" t="s">
        <v>28</v>
      </c>
      <c r="C10" s="19" t="s">
        <v>11</v>
      </c>
      <c r="D10" s="8"/>
      <c r="E10" s="8"/>
      <c r="F10" s="8"/>
      <c r="G10" s="8"/>
      <c r="H10" s="8"/>
      <c r="I10" s="8"/>
    </row>
    <row r="11" spans="1:9" x14ac:dyDescent="0.2">
      <c r="A11">
        <v>1</v>
      </c>
      <c r="B11" s="9" t="s">
        <v>18</v>
      </c>
      <c r="C11" s="20" t="s">
        <v>13</v>
      </c>
      <c r="D11" s="10"/>
      <c r="E11" s="10"/>
      <c r="F11" s="10">
        <v>1</v>
      </c>
      <c r="G11" s="10"/>
      <c r="H11" s="10"/>
      <c r="I11" s="10"/>
    </row>
    <row r="12" spans="1:9" x14ac:dyDescent="0.2">
      <c r="A12">
        <v>1</v>
      </c>
      <c r="B12" s="7" t="s">
        <v>2</v>
      </c>
      <c r="C12" s="19" t="s">
        <v>15</v>
      </c>
      <c r="D12" s="8"/>
      <c r="E12" s="8"/>
      <c r="F12" s="8">
        <v>1</v>
      </c>
      <c r="G12" s="8"/>
      <c r="H12" s="8"/>
      <c r="I12" s="8">
        <v>2</v>
      </c>
    </row>
    <row r="13" spans="1:9" x14ac:dyDescent="0.2">
      <c r="A13">
        <v>1</v>
      </c>
      <c r="B13" s="12" t="s">
        <v>29</v>
      </c>
      <c r="C13" s="20" t="s">
        <v>10</v>
      </c>
      <c r="D13" s="10"/>
      <c r="E13" s="10"/>
      <c r="F13" s="10"/>
      <c r="G13" s="10"/>
      <c r="H13" s="10"/>
      <c r="I13" s="10"/>
    </row>
    <row r="14" spans="1:9" x14ac:dyDescent="0.2">
      <c r="A14">
        <v>1</v>
      </c>
      <c r="B14" s="7" t="s">
        <v>7</v>
      </c>
      <c r="C14" s="21"/>
      <c r="D14" s="8"/>
      <c r="E14" s="8"/>
      <c r="F14" s="8"/>
      <c r="G14" s="8"/>
      <c r="H14" s="8"/>
      <c r="I14" s="8"/>
    </row>
    <row r="15" spans="1:9" x14ac:dyDescent="0.2">
      <c r="A15">
        <v>1</v>
      </c>
      <c r="B15" s="9" t="s">
        <v>6</v>
      </c>
      <c r="C15" s="20" t="s">
        <v>24</v>
      </c>
      <c r="D15" s="10"/>
      <c r="E15" s="10"/>
      <c r="F15" s="10"/>
      <c r="G15" s="10"/>
      <c r="H15" s="10"/>
      <c r="I15" s="10"/>
    </row>
    <row r="16" spans="1:9" x14ac:dyDescent="0.2">
      <c r="A16">
        <v>1</v>
      </c>
      <c r="B16" s="7" t="s">
        <v>17</v>
      </c>
      <c r="C16" s="22" t="s">
        <v>42</v>
      </c>
      <c r="D16" s="8"/>
      <c r="E16" s="8"/>
      <c r="F16" s="8"/>
      <c r="G16" s="8"/>
      <c r="H16" s="8"/>
      <c r="I16" s="8"/>
    </row>
    <row r="17" spans="1:9" x14ac:dyDescent="0.2">
      <c r="A17">
        <v>1</v>
      </c>
      <c r="B17" s="9" t="s">
        <v>23</v>
      </c>
      <c r="C17" s="20" t="s">
        <v>15</v>
      </c>
      <c r="D17" s="10"/>
      <c r="E17" s="10"/>
      <c r="F17" s="10"/>
      <c r="G17" s="10"/>
      <c r="H17" s="10"/>
      <c r="I17" s="10"/>
    </row>
    <row r="18" spans="1:9" x14ac:dyDescent="0.2">
      <c r="A18">
        <v>1</v>
      </c>
      <c r="B18" s="7" t="s">
        <v>19</v>
      </c>
      <c r="C18" s="19" t="s">
        <v>8</v>
      </c>
      <c r="D18" s="8">
        <v>1</v>
      </c>
      <c r="E18" s="8"/>
      <c r="F18" s="8"/>
      <c r="G18" s="8"/>
      <c r="H18" s="8"/>
      <c r="I18" s="8">
        <v>3</v>
      </c>
    </row>
    <row r="19" spans="1:9" x14ac:dyDescent="0.2">
      <c r="A19">
        <v>1</v>
      </c>
      <c r="B19" s="16" t="s">
        <v>44</v>
      </c>
      <c r="C19" s="23" t="s">
        <v>12</v>
      </c>
      <c r="D19" s="17">
        <v>1</v>
      </c>
      <c r="E19" s="3">
        <v>1</v>
      </c>
      <c r="F19" s="3"/>
      <c r="G19" s="3"/>
      <c r="H19" s="3"/>
      <c r="I19" s="3">
        <v>1</v>
      </c>
    </row>
    <row r="20" spans="1:9" x14ac:dyDescent="0.2">
      <c r="A20">
        <v>1</v>
      </c>
      <c r="B20" s="1" t="s">
        <v>40</v>
      </c>
      <c r="E20" s="25"/>
      <c r="F20" s="25"/>
      <c r="G20" s="25"/>
      <c r="H20" s="25"/>
      <c r="I20" s="25">
        <v>1</v>
      </c>
    </row>
    <row r="21" spans="1:9" x14ac:dyDescent="0.2">
      <c r="A21">
        <v>1</v>
      </c>
      <c r="B21" s="1" t="s">
        <v>45</v>
      </c>
      <c r="E21" s="25"/>
      <c r="F21" s="25"/>
      <c r="G21" s="25"/>
      <c r="H21" s="25"/>
      <c r="I21" s="25">
        <v>1</v>
      </c>
    </row>
  </sheetData>
  <hyperlinks>
    <hyperlink ref="B5" r:id="rId1" xr:uid="{9B62EC7A-9C0F-DC45-9784-AC8560AB2A43}"/>
    <hyperlink ref="B9" r:id="rId2" xr:uid="{250E3E4D-5627-3B40-832F-1DE9938968FC}"/>
    <hyperlink ref="B12" r:id="rId3" xr:uid="{486524C4-0EDE-894A-B09E-ABB08A5C34FC}"/>
    <hyperlink ref="B3" r:id="rId4" xr:uid="{D06210E7-E39A-6549-B829-5A9B8DBBFB45}"/>
    <hyperlink ref="B4" r:id="rId5" xr:uid="{E4E9D271-6790-9541-ACFC-443F492738B7}"/>
    <hyperlink ref="B2" r:id="rId6" xr:uid="{250BDD82-B351-1B4F-88E8-B62E2B01DCAB}"/>
    <hyperlink ref="B6" r:id="rId7" xr:uid="{91B2A145-9FAF-D84B-A7C1-2631F152947D}"/>
    <hyperlink ref="B15" r:id="rId8" xr:uid="{90BBFF05-1545-C44C-8275-CA175B30F026}"/>
    <hyperlink ref="B14" r:id="rId9" xr:uid="{FA362A49-87D1-BA4E-A589-E0CCFBA8CD31}"/>
    <hyperlink ref="B18" r:id="rId10" xr:uid="{2F0CFBB4-BCB8-0043-942B-7B4BD8CDE1D4}"/>
    <hyperlink ref="B16" r:id="rId11" xr:uid="{4616507F-85EB-2E42-8DF0-C02B70D5C316}"/>
    <hyperlink ref="B11" r:id="rId12" xr:uid="{D9321A54-F9ED-514B-A54F-CCB82F1CC527}"/>
    <hyperlink ref="B8" r:id="rId13" xr:uid="{880C6069-8638-BC4A-8396-CA429126E69D}"/>
    <hyperlink ref="B7" r:id="rId14" xr:uid="{E9F0B038-A841-564E-856B-FE13F565AF08}"/>
    <hyperlink ref="B17" r:id="rId15" xr:uid="{14529178-09B6-7048-B8FD-FE34A7F5153E}"/>
    <hyperlink ref="B10" r:id="rId16" xr:uid="{AF2191DA-C42E-CB47-886C-946F73479144}"/>
    <hyperlink ref="B13" r:id="rId17" xr:uid="{79055929-AB2F-AB41-A72A-4AB1FF93B431}"/>
    <hyperlink ref="B19" r:id="rId18" xr:uid="{03B2CC40-6099-6C44-B795-96A17D7696F5}"/>
    <hyperlink ref="B20" r:id="rId19" xr:uid="{69785356-D178-5D4F-9381-2EF12A1FC175}"/>
    <hyperlink ref="B21" r:id="rId20" xr:uid="{90682E6B-170D-2A49-9C57-01D6267CC3A3}"/>
  </hyperlinks>
  <pageMargins left="0.7" right="0.7" top="0.78740157499999996" bottom="0.78740157499999996" header="0.3" footer="0.3"/>
  <tableParts count="1">
    <tablePart r:id="rId2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1581-E3D7-3647-B3F6-A69980EC86E4}">
  <dimension ref="A1:K49"/>
  <sheetViews>
    <sheetView tabSelected="1" topLeftCell="A19" workbookViewId="0">
      <selection activeCell="B45" sqref="B45"/>
    </sheetView>
  </sheetViews>
  <sheetFormatPr baseColWidth="10" defaultRowHeight="16" x14ac:dyDescent="0.2"/>
  <cols>
    <col min="1" max="1" width="25" customWidth="1"/>
  </cols>
  <sheetData>
    <row r="1" spans="1:8" x14ac:dyDescent="0.2"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4" t="s">
        <v>37</v>
      </c>
    </row>
    <row r="2" spans="1:8" x14ac:dyDescent="0.2">
      <c r="A2" s="7" t="s">
        <v>14</v>
      </c>
      <c r="C2">
        <f>SUMIF(Tabelle2[Mail],Tabelle2!$A2,Tabelle2[Classico])</f>
        <v>0</v>
      </c>
      <c r="D2">
        <f>SUMIF(Tabelle2[Mail],Tabelle2!$A2,Tabelle2[Rustico])</f>
        <v>0</v>
      </c>
      <c r="E2">
        <f>SUMIF(Tabelle2[Mail],Tabelle2!$A2,Tabelle2[Sesam])</f>
        <v>0</v>
      </c>
      <c r="F2">
        <f>SUMIF(Tabelle2[Mail],Tabelle2!$A2,Tabelle2[Vollkorn])</f>
        <v>0</v>
      </c>
      <c r="G2">
        <f>SUMIF(Tabelle2[Mail],Tabelle2!$A2,Tabelle2[Roggen])</f>
        <v>0</v>
      </c>
      <c r="H2">
        <f>SUMIF(Tabelle2[Mail],Tabelle2!$A2,Tabelle2[Zimt])</f>
        <v>0</v>
      </c>
    </row>
    <row r="3" spans="1:8" x14ac:dyDescent="0.2">
      <c r="A3" s="9" t="s">
        <v>25</v>
      </c>
      <c r="C3">
        <f>SUMIF(Tabelle2[Mail],Tabelle2!$A3,Tabelle2[Classico])</f>
        <v>0</v>
      </c>
      <c r="D3">
        <f>SUMIF(Tabelle2[Mail],Tabelle2!$A3,Tabelle2[Rustico])</f>
        <v>0</v>
      </c>
      <c r="E3">
        <f>SUMIF(Tabelle2[Mail],Tabelle2!$A3,Tabelle2[Sesam])</f>
        <v>0</v>
      </c>
      <c r="F3">
        <f>SUMIF(Tabelle2[Mail],Tabelle2!$A3,Tabelle2[Vollkorn])</f>
        <v>0</v>
      </c>
      <c r="G3">
        <f>SUMIF(Tabelle2[Mail],Tabelle2!$A3,Tabelle2[Roggen])</f>
        <v>0</v>
      </c>
      <c r="H3">
        <f>SUMIF(Tabelle2[Mail],Tabelle2!$A3,Tabelle2[Zimt])</f>
        <v>0</v>
      </c>
    </row>
    <row r="4" spans="1:8" x14ac:dyDescent="0.2">
      <c r="A4" s="7" t="s">
        <v>3</v>
      </c>
      <c r="C4">
        <f>SUMIF(Tabelle2[Mail],Tabelle2!$A4,Tabelle2[Classico])</f>
        <v>0</v>
      </c>
      <c r="D4">
        <f>SUMIF(Tabelle2[Mail],Tabelle2!$A4,Tabelle2[Rustico])</f>
        <v>1</v>
      </c>
      <c r="E4">
        <f>SUMIF(Tabelle2[Mail],Tabelle2!$A4,Tabelle2[Sesam])</f>
        <v>0</v>
      </c>
      <c r="F4">
        <f>SUMIF(Tabelle2[Mail],Tabelle2!$A4,Tabelle2[Vollkorn])</f>
        <v>0</v>
      </c>
      <c r="G4">
        <f>SUMIF(Tabelle2[Mail],Tabelle2!$A4,Tabelle2[Roggen])</f>
        <v>1</v>
      </c>
      <c r="H4">
        <f>SUMIF(Tabelle2[Mail],Tabelle2!$A4,Tabelle2[Zimt])</f>
        <v>3</v>
      </c>
    </row>
    <row r="5" spans="1:8" x14ac:dyDescent="0.2">
      <c r="A5" s="9" t="s">
        <v>0</v>
      </c>
      <c r="C5">
        <f>SUMIF(Tabelle2[Mail],Tabelle2!$A5,Tabelle2[Classico])</f>
        <v>1</v>
      </c>
      <c r="D5">
        <f>SUMIF(Tabelle2[Mail],Tabelle2!$A5,Tabelle2[Rustico])</f>
        <v>0</v>
      </c>
      <c r="E5">
        <f>SUMIF(Tabelle2[Mail],Tabelle2!$A5,Tabelle2[Sesam])</f>
        <v>0</v>
      </c>
      <c r="F5">
        <f>SUMIF(Tabelle2[Mail],Tabelle2!$A5,Tabelle2[Vollkorn])</f>
        <v>0</v>
      </c>
      <c r="G5">
        <f>SUMIF(Tabelle2[Mail],Tabelle2!$A5,Tabelle2[Roggen])</f>
        <v>0</v>
      </c>
      <c r="H5">
        <f>SUMIF(Tabelle2[Mail],Tabelle2!$A5,Tabelle2[Zimt])</f>
        <v>0</v>
      </c>
    </row>
    <row r="6" spans="1:8" x14ac:dyDescent="0.2">
      <c r="A6" s="7" t="s">
        <v>4</v>
      </c>
      <c r="C6">
        <f>SUMIF(Tabelle2[Mail],Tabelle2!$A6,Tabelle2[Classico])</f>
        <v>0</v>
      </c>
      <c r="D6">
        <f>SUMIF(Tabelle2[Mail],Tabelle2!$A6,Tabelle2[Rustico])</f>
        <v>1</v>
      </c>
      <c r="E6">
        <f>SUMIF(Tabelle2[Mail],Tabelle2!$A6,Tabelle2[Sesam])</f>
        <v>0</v>
      </c>
      <c r="F6">
        <f>SUMIF(Tabelle2[Mail],Tabelle2!$A6,Tabelle2[Vollkorn])</f>
        <v>0</v>
      </c>
      <c r="G6">
        <f>SUMIF(Tabelle2[Mail],Tabelle2!$A6,Tabelle2[Roggen])</f>
        <v>2</v>
      </c>
      <c r="H6">
        <f>SUMIF(Tabelle2[Mail],Tabelle2!$A6,Tabelle2[Zimt])</f>
        <v>0</v>
      </c>
    </row>
    <row r="7" spans="1:8" x14ac:dyDescent="0.2">
      <c r="A7" s="9" t="s">
        <v>22</v>
      </c>
      <c r="C7">
        <f>SUMIF(Tabelle2[Mail],Tabelle2!$A7,Tabelle2[Classico])</f>
        <v>0</v>
      </c>
      <c r="D7">
        <f>SUMIF(Tabelle2[Mail],Tabelle2!$A7,Tabelle2[Rustico])</f>
        <v>0</v>
      </c>
      <c r="E7">
        <f>SUMIF(Tabelle2[Mail],Tabelle2!$A7,Tabelle2[Sesam])</f>
        <v>0</v>
      </c>
      <c r="F7">
        <f>SUMIF(Tabelle2[Mail],Tabelle2!$A7,Tabelle2[Vollkorn])</f>
        <v>0</v>
      </c>
      <c r="G7">
        <f>SUMIF(Tabelle2[Mail],Tabelle2!$A7,Tabelle2[Roggen])</f>
        <v>1</v>
      </c>
      <c r="H7">
        <f>SUMIF(Tabelle2[Mail],Tabelle2!$A7,Tabelle2[Zimt])</f>
        <v>1</v>
      </c>
    </row>
    <row r="8" spans="1:8" x14ac:dyDescent="0.2">
      <c r="A8" s="7" t="s">
        <v>20</v>
      </c>
      <c r="C8">
        <f>SUMIF(Tabelle2[Mail],Tabelle2!$A8,Tabelle2[Classico])</f>
        <v>0</v>
      </c>
      <c r="D8">
        <f>SUMIF(Tabelle2[Mail],Tabelle2!$A8,Tabelle2[Rustico])</f>
        <v>0</v>
      </c>
      <c r="E8">
        <f>SUMIF(Tabelle2[Mail],Tabelle2!$A8,Tabelle2[Sesam])</f>
        <v>0</v>
      </c>
      <c r="F8">
        <f>SUMIF(Tabelle2[Mail],Tabelle2!$A8,Tabelle2[Vollkorn])</f>
        <v>0</v>
      </c>
      <c r="G8">
        <f>SUMIF(Tabelle2[Mail],Tabelle2!$A8,Tabelle2[Roggen])</f>
        <v>0</v>
      </c>
      <c r="H8">
        <f>SUMIF(Tabelle2[Mail],Tabelle2!$A8,Tabelle2[Zimt])</f>
        <v>0</v>
      </c>
    </row>
    <row r="9" spans="1:8" x14ac:dyDescent="0.2">
      <c r="A9" s="9" t="s">
        <v>1</v>
      </c>
      <c r="C9">
        <f>SUMIF(Tabelle2[Mail],Tabelle2!$A9,Tabelle2[Classico])</f>
        <v>0</v>
      </c>
      <c r="D9">
        <f>SUMIF(Tabelle2[Mail],Tabelle2!$A9,Tabelle2[Rustico])</f>
        <v>0</v>
      </c>
      <c r="E9">
        <f>SUMIF(Tabelle2[Mail],Tabelle2!$A9,Tabelle2[Sesam])</f>
        <v>0</v>
      </c>
      <c r="F9">
        <f>SUMIF(Tabelle2[Mail],Tabelle2!$A9,Tabelle2[Vollkorn])</f>
        <v>0</v>
      </c>
      <c r="G9">
        <f>SUMIF(Tabelle2[Mail],Tabelle2!$A9,Tabelle2[Roggen])</f>
        <v>0</v>
      </c>
      <c r="H9">
        <f>SUMIF(Tabelle2[Mail],Tabelle2!$A9,Tabelle2[Zimt])</f>
        <v>0</v>
      </c>
    </row>
    <row r="10" spans="1:8" x14ac:dyDescent="0.2">
      <c r="A10" s="11" t="s">
        <v>28</v>
      </c>
      <c r="C10">
        <f>SUMIF(Tabelle2[Mail],Tabelle2!$A10,Tabelle2[Classico])</f>
        <v>0</v>
      </c>
      <c r="D10">
        <f>SUMIF(Tabelle2[Mail],Tabelle2!$A10,Tabelle2[Rustico])</f>
        <v>0</v>
      </c>
      <c r="E10">
        <f>SUMIF(Tabelle2[Mail],Tabelle2!$A10,Tabelle2[Sesam])</f>
        <v>0</v>
      </c>
      <c r="F10">
        <f>SUMIF(Tabelle2[Mail],Tabelle2!$A10,Tabelle2[Vollkorn])</f>
        <v>0</v>
      </c>
      <c r="G10">
        <f>SUMIF(Tabelle2[Mail],Tabelle2!$A10,Tabelle2[Roggen])</f>
        <v>0</v>
      </c>
      <c r="H10">
        <f>SUMIF(Tabelle2[Mail],Tabelle2!$A10,Tabelle2[Zimt])</f>
        <v>0</v>
      </c>
    </row>
    <row r="11" spans="1:8" x14ac:dyDescent="0.2">
      <c r="A11" s="9" t="s">
        <v>18</v>
      </c>
      <c r="C11">
        <f>SUMIF(Tabelle2[Mail],Tabelle2!$A11,Tabelle2[Classico])</f>
        <v>0</v>
      </c>
      <c r="D11">
        <f>SUMIF(Tabelle2[Mail],Tabelle2!$A11,Tabelle2[Rustico])</f>
        <v>0</v>
      </c>
      <c r="E11">
        <f>SUMIF(Tabelle2[Mail],Tabelle2!$A11,Tabelle2[Sesam])</f>
        <v>1</v>
      </c>
      <c r="F11">
        <f>SUMIF(Tabelle2[Mail],Tabelle2!$A11,Tabelle2[Vollkorn])</f>
        <v>0</v>
      </c>
      <c r="G11">
        <f>SUMIF(Tabelle2[Mail],Tabelle2!$A11,Tabelle2[Roggen])</f>
        <v>0</v>
      </c>
      <c r="H11">
        <f>SUMIF(Tabelle2[Mail],Tabelle2!$A11,Tabelle2[Zimt])</f>
        <v>0</v>
      </c>
    </row>
    <row r="12" spans="1:8" x14ac:dyDescent="0.2">
      <c r="A12" s="7" t="s">
        <v>2</v>
      </c>
      <c r="C12">
        <f>SUMIF(Tabelle2[Mail],Tabelle2!$A12,Tabelle2[Classico])</f>
        <v>0</v>
      </c>
      <c r="D12">
        <f>SUMIF(Tabelle2[Mail],Tabelle2!$A12,Tabelle2[Rustico])</f>
        <v>0</v>
      </c>
      <c r="E12">
        <f>SUMIF(Tabelle2[Mail],Tabelle2!$A12,Tabelle2[Sesam])</f>
        <v>1</v>
      </c>
      <c r="F12">
        <f>SUMIF(Tabelle2[Mail],Tabelle2!$A12,Tabelle2[Vollkorn])</f>
        <v>0</v>
      </c>
      <c r="G12">
        <f>SUMIF(Tabelle2[Mail],Tabelle2!$A12,Tabelle2[Roggen])</f>
        <v>0</v>
      </c>
      <c r="H12">
        <f>SUMIF(Tabelle2[Mail],Tabelle2!$A12,Tabelle2[Zimt])</f>
        <v>2</v>
      </c>
    </row>
    <row r="13" spans="1:8" x14ac:dyDescent="0.2">
      <c r="A13" s="12" t="s">
        <v>29</v>
      </c>
      <c r="C13">
        <f>SUMIF(Tabelle2[Mail],Tabelle2!$A13,Tabelle2[Classico])</f>
        <v>0</v>
      </c>
      <c r="D13">
        <f>SUMIF(Tabelle2[Mail],Tabelle2!$A13,Tabelle2[Rustico])</f>
        <v>0</v>
      </c>
      <c r="E13">
        <f>SUMIF(Tabelle2[Mail],Tabelle2!$A13,Tabelle2[Sesam])</f>
        <v>0</v>
      </c>
      <c r="F13">
        <f>SUMIF(Tabelle2[Mail],Tabelle2!$A13,Tabelle2[Vollkorn])</f>
        <v>0</v>
      </c>
      <c r="G13">
        <f>SUMIF(Tabelle2[Mail],Tabelle2!$A13,Tabelle2[Roggen])</f>
        <v>0</v>
      </c>
      <c r="H13">
        <f>SUMIF(Tabelle2[Mail],Tabelle2!$A13,Tabelle2[Zimt])</f>
        <v>0</v>
      </c>
    </row>
    <row r="14" spans="1:8" x14ac:dyDescent="0.2">
      <c r="A14" s="7" t="s">
        <v>7</v>
      </c>
      <c r="C14">
        <f>SUMIF(Tabelle2[Mail],Tabelle2!$A14,Tabelle2[Classico])</f>
        <v>0</v>
      </c>
      <c r="D14">
        <f>SUMIF(Tabelle2[Mail],Tabelle2!$A14,Tabelle2[Rustico])</f>
        <v>0</v>
      </c>
      <c r="E14">
        <f>SUMIF(Tabelle2[Mail],Tabelle2!$A14,Tabelle2[Sesam])</f>
        <v>0</v>
      </c>
      <c r="F14">
        <f>SUMIF(Tabelle2[Mail],Tabelle2!$A14,Tabelle2[Vollkorn])</f>
        <v>0</v>
      </c>
      <c r="G14">
        <f>SUMIF(Tabelle2[Mail],Tabelle2!$A14,Tabelle2[Roggen])</f>
        <v>0</v>
      </c>
      <c r="H14">
        <f>SUMIF(Tabelle2[Mail],Tabelle2!$A14,Tabelle2[Zimt])</f>
        <v>0</v>
      </c>
    </row>
    <row r="15" spans="1:8" x14ac:dyDescent="0.2">
      <c r="A15" s="9" t="s">
        <v>6</v>
      </c>
      <c r="C15">
        <f>SUMIF(Tabelle2[Mail],Tabelle2!$A15,Tabelle2[Classico])</f>
        <v>0</v>
      </c>
      <c r="D15">
        <f>SUMIF(Tabelle2[Mail],Tabelle2!$A15,Tabelle2[Rustico])</f>
        <v>0</v>
      </c>
      <c r="E15">
        <f>SUMIF(Tabelle2[Mail],Tabelle2!$A15,Tabelle2[Sesam])</f>
        <v>0</v>
      </c>
      <c r="F15">
        <f>SUMIF(Tabelle2[Mail],Tabelle2!$A15,Tabelle2[Vollkorn])</f>
        <v>0</v>
      </c>
      <c r="G15">
        <f>SUMIF(Tabelle2[Mail],Tabelle2!$A15,Tabelle2[Roggen])</f>
        <v>0</v>
      </c>
      <c r="H15">
        <f>SUMIF(Tabelle2[Mail],Tabelle2!$A15,Tabelle2[Zimt])</f>
        <v>0</v>
      </c>
    </row>
    <row r="16" spans="1:8" x14ac:dyDescent="0.2">
      <c r="A16" s="7" t="s">
        <v>17</v>
      </c>
      <c r="C16">
        <f>SUMIF(Tabelle2[Mail],Tabelle2!$A16,Tabelle2[Classico])</f>
        <v>0</v>
      </c>
      <c r="D16">
        <f>SUMIF(Tabelle2[Mail],Tabelle2!$A16,Tabelle2[Rustico])</f>
        <v>0</v>
      </c>
      <c r="E16">
        <f>SUMIF(Tabelle2[Mail],Tabelle2!$A16,Tabelle2[Sesam])</f>
        <v>0</v>
      </c>
      <c r="F16">
        <f>SUMIF(Tabelle2[Mail],Tabelle2!$A16,Tabelle2[Vollkorn])</f>
        <v>0</v>
      </c>
      <c r="G16">
        <f>SUMIF(Tabelle2[Mail],Tabelle2!$A16,Tabelle2[Roggen])</f>
        <v>0</v>
      </c>
      <c r="H16">
        <f>SUMIF(Tabelle2[Mail],Tabelle2!$A16,Tabelle2[Zimt])</f>
        <v>0</v>
      </c>
    </row>
    <row r="17" spans="1:11" x14ac:dyDescent="0.2">
      <c r="A17" s="9" t="s">
        <v>23</v>
      </c>
      <c r="C17">
        <f>SUMIF(Tabelle2[Mail],Tabelle2!$A17,Tabelle2[Classico])</f>
        <v>0</v>
      </c>
      <c r="D17">
        <f>SUMIF(Tabelle2[Mail],Tabelle2!$A17,Tabelle2[Rustico])</f>
        <v>0</v>
      </c>
      <c r="E17">
        <f>SUMIF(Tabelle2[Mail],Tabelle2!$A17,Tabelle2[Sesam])</f>
        <v>0</v>
      </c>
      <c r="F17">
        <f>SUMIF(Tabelle2[Mail],Tabelle2!$A17,Tabelle2[Vollkorn])</f>
        <v>0</v>
      </c>
      <c r="G17">
        <f>SUMIF(Tabelle2[Mail],Tabelle2!$A17,Tabelle2[Roggen])</f>
        <v>0</v>
      </c>
      <c r="H17">
        <f>SUMIF(Tabelle2[Mail],Tabelle2!$A17,Tabelle2[Zimt])</f>
        <v>0</v>
      </c>
    </row>
    <row r="18" spans="1:11" x14ac:dyDescent="0.2">
      <c r="A18" s="7" t="s">
        <v>19</v>
      </c>
      <c r="C18">
        <f>SUMIF(Tabelle2[Mail],Tabelle2!$A18,Tabelle2[Classico])</f>
        <v>1</v>
      </c>
      <c r="D18">
        <f>SUMIF(Tabelle2[Mail],Tabelle2!$A18,Tabelle2[Rustico])</f>
        <v>0</v>
      </c>
      <c r="E18">
        <f>SUMIF(Tabelle2[Mail],Tabelle2!$A18,Tabelle2[Sesam])</f>
        <v>0</v>
      </c>
      <c r="F18">
        <f>SUMIF(Tabelle2[Mail],Tabelle2!$A18,Tabelle2[Vollkorn])</f>
        <v>0</v>
      </c>
      <c r="G18">
        <f>SUMIF(Tabelle2[Mail],Tabelle2!$A18,Tabelle2[Roggen])</f>
        <v>0</v>
      </c>
      <c r="H18">
        <f>SUMIF(Tabelle2[Mail],Tabelle2!$A18,Tabelle2[Zimt])</f>
        <v>3</v>
      </c>
    </row>
    <row r="19" spans="1:11" x14ac:dyDescent="0.2">
      <c r="A19" s="13" t="s">
        <v>44</v>
      </c>
      <c r="C19">
        <f>SUMIF(Tabelle2[Mail],Tabelle2!$A19,Tabelle2[Classico])</f>
        <v>1</v>
      </c>
      <c r="D19">
        <f>SUMIF(Tabelle2[Mail],Tabelle2!$A19,Tabelle2[Rustico])</f>
        <v>1</v>
      </c>
      <c r="E19">
        <f>SUMIF(Tabelle2[Mail],Tabelle2!$A19,Tabelle2[Sesam])</f>
        <v>0</v>
      </c>
      <c r="F19">
        <f>SUMIF(Tabelle2[Mail],Tabelle2!$A19,Tabelle2[Vollkorn])</f>
        <v>0</v>
      </c>
      <c r="G19">
        <f>SUMIF(Tabelle2[Mail],Tabelle2!$A19,Tabelle2[Roggen])</f>
        <v>0</v>
      </c>
      <c r="H19">
        <f>SUMIF(Tabelle2[Mail],Tabelle2!$A19,Tabelle2[Zimt])</f>
        <v>1</v>
      </c>
    </row>
    <row r="20" spans="1:11" x14ac:dyDescent="0.2">
      <c r="A20" s="1" t="s">
        <v>40</v>
      </c>
      <c r="C20">
        <f>SUMIF(Tabelle2[Mail],Tabelle2!$A20,Tabelle2[Classico])</f>
        <v>0</v>
      </c>
      <c r="D20">
        <f>SUMIF(Tabelle2[Mail],Tabelle2!$A20,Tabelle2[Rustico])</f>
        <v>0</v>
      </c>
      <c r="E20">
        <f>SUMIF(Tabelle2[Mail],Tabelle2!$A20,Tabelle2[Sesam])</f>
        <v>0</v>
      </c>
      <c r="F20">
        <f>SUMIF(Tabelle2[Mail],Tabelle2!$A20,Tabelle2[Vollkorn])</f>
        <v>0</v>
      </c>
      <c r="G20">
        <f>SUMIF(Tabelle2[Mail],Tabelle2!$A20,Tabelle2[Roggen])</f>
        <v>0</v>
      </c>
      <c r="H20">
        <f>SUMIF(Tabelle2[Mail],Tabelle2!$A20,Tabelle2[Zimt])</f>
        <v>1</v>
      </c>
    </row>
    <row r="21" spans="1:11" x14ac:dyDescent="0.2">
      <c r="A21" s="1" t="s">
        <v>45</v>
      </c>
      <c r="C21">
        <f>SUMIF(Tabelle2[Mail],Tabelle2!$A21,Tabelle2[Classico])</f>
        <v>0</v>
      </c>
      <c r="D21">
        <f>SUMIF(Tabelle2[Mail],Tabelle2!$A21,Tabelle2[Rustico])</f>
        <v>0</v>
      </c>
      <c r="E21">
        <f>SUMIF(Tabelle2[Mail],Tabelle2!$A21,Tabelle2[Sesam])</f>
        <v>0</v>
      </c>
      <c r="F21">
        <f>SUMIF(Tabelle2[Mail],Tabelle2!$A21,Tabelle2[Vollkorn])</f>
        <v>0</v>
      </c>
      <c r="G21">
        <f>SUMIF(Tabelle2[Mail],Tabelle2!$A21,Tabelle2[Roggen])</f>
        <v>0</v>
      </c>
      <c r="H21">
        <f>SUMIF(Tabelle2[Mail],Tabelle2!$A21,Tabelle2[Zimt])</f>
        <v>1</v>
      </c>
    </row>
    <row r="22" spans="1:11" x14ac:dyDescent="0.2">
      <c r="A22" s="1"/>
    </row>
    <row r="25" spans="1:11" x14ac:dyDescent="0.2">
      <c r="C25" s="14">
        <v>5</v>
      </c>
      <c r="D25" s="14">
        <v>6.2</v>
      </c>
      <c r="E25" s="14">
        <v>6.5</v>
      </c>
      <c r="F25" s="14">
        <v>7.6</v>
      </c>
      <c r="G25" s="14">
        <v>7</v>
      </c>
      <c r="H25" s="14">
        <v>3.3</v>
      </c>
      <c r="K25" t="s">
        <v>41</v>
      </c>
    </row>
    <row r="26" spans="1:11" x14ac:dyDescent="0.2">
      <c r="A26" s="7" t="s">
        <v>14</v>
      </c>
      <c r="C26" s="15">
        <f>C$25*C2</f>
        <v>0</v>
      </c>
      <c r="D26" s="15">
        <f t="shared" ref="D26:H26" si="0">D$25*D2</f>
        <v>0</v>
      </c>
      <c r="E26" s="15">
        <f t="shared" si="0"/>
        <v>0</v>
      </c>
      <c r="F26" s="15">
        <f t="shared" si="0"/>
        <v>0</v>
      </c>
      <c r="G26" s="15">
        <f t="shared" si="0"/>
        <v>0</v>
      </c>
      <c r="H26" s="15">
        <f t="shared" si="0"/>
        <v>0</v>
      </c>
      <c r="J26" s="15">
        <f>SUM(C26:H26)</f>
        <v>0</v>
      </c>
    </row>
    <row r="27" spans="1:11" x14ac:dyDescent="0.2">
      <c r="A27" s="9" t="s">
        <v>25</v>
      </c>
      <c r="C27" s="15">
        <f>C$25*C3</f>
        <v>0</v>
      </c>
      <c r="D27" s="15">
        <f t="shared" ref="D27:H27" si="1">D$25*D3</f>
        <v>0</v>
      </c>
      <c r="E27" s="15">
        <f t="shared" si="1"/>
        <v>0</v>
      </c>
      <c r="F27" s="15">
        <f t="shared" si="1"/>
        <v>0</v>
      </c>
      <c r="G27" s="15">
        <f t="shared" si="1"/>
        <v>0</v>
      </c>
      <c r="H27" s="15">
        <f t="shared" si="1"/>
        <v>0</v>
      </c>
      <c r="J27" s="15">
        <f t="shared" ref="J27:J46" si="2">SUM(C27:H27)</f>
        <v>0</v>
      </c>
    </row>
    <row r="28" spans="1:11" x14ac:dyDescent="0.2">
      <c r="A28" s="7" t="s">
        <v>3</v>
      </c>
      <c r="C28" s="15">
        <f t="shared" ref="C28:H28" si="3">C$25*C4</f>
        <v>0</v>
      </c>
      <c r="D28" s="15">
        <f t="shared" si="3"/>
        <v>6.2</v>
      </c>
      <c r="E28" s="15">
        <f t="shared" si="3"/>
        <v>0</v>
      </c>
      <c r="F28" s="15">
        <f t="shared" si="3"/>
        <v>0</v>
      </c>
      <c r="G28" s="15">
        <f t="shared" si="3"/>
        <v>7</v>
      </c>
      <c r="H28" s="15">
        <f t="shared" si="3"/>
        <v>9.8999999999999986</v>
      </c>
      <c r="J28" s="15">
        <f t="shared" si="2"/>
        <v>23.099999999999998</v>
      </c>
    </row>
    <row r="29" spans="1:11" x14ac:dyDescent="0.2">
      <c r="A29" s="9" t="s">
        <v>0</v>
      </c>
      <c r="C29" s="15">
        <f t="shared" ref="C29:H29" si="4">C$25*C5</f>
        <v>5</v>
      </c>
      <c r="D29" s="15">
        <f t="shared" si="4"/>
        <v>0</v>
      </c>
      <c r="E29" s="15">
        <f t="shared" si="4"/>
        <v>0</v>
      </c>
      <c r="F29" s="15">
        <f t="shared" si="4"/>
        <v>0</v>
      </c>
      <c r="G29" s="15">
        <f t="shared" si="4"/>
        <v>0</v>
      </c>
      <c r="H29" s="15">
        <f t="shared" si="4"/>
        <v>0</v>
      </c>
      <c r="J29" s="15">
        <f t="shared" si="2"/>
        <v>5</v>
      </c>
    </row>
    <row r="30" spans="1:11" x14ac:dyDescent="0.2">
      <c r="A30" s="7" t="s">
        <v>4</v>
      </c>
      <c r="C30" s="15">
        <f t="shared" ref="C30:H30" si="5">C$25*C6</f>
        <v>0</v>
      </c>
      <c r="D30" s="15">
        <f t="shared" si="5"/>
        <v>6.2</v>
      </c>
      <c r="E30" s="15">
        <f t="shared" si="5"/>
        <v>0</v>
      </c>
      <c r="F30" s="15">
        <f t="shared" si="5"/>
        <v>0</v>
      </c>
      <c r="G30" s="15">
        <f t="shared" si="5"/>
        <v>14</v>
      </c>
      <c r="H30" s="15">
        <f t="shared" si="5"/>
        <v>0</v>
      </c>
      <c r="J30" s="15">
        <f t="shared" si="2"/>
        <v>20.2</v>
      </c>
    </row>
    <row r="31" spans="1:11" x14ac:dyDescent="0.2">
      <c r="A31" s="9" t="s">
        <v>22</v>
      </c>
      <c r="C31" s="15">
        <f t="shared" ref="C31:H31" si="6">C$25*C7</f>
        <v>0</v>
      </c>
      <c r="D31" s="15">
        <f t="shared" si="6"/>
        <v>0</v>
      </c>
      <c r="E31" s="15">
        <f t="shared" si="6"/>
        <v>0</v>
      </c>
      <c r="F31" s="15">
        <f t="shared" si="6"/>
        <v>0</v>
      </c>
      <c r="G31" s="15">
        <f t="shared" si="6"/>
        <v>7</v>
      </c>
      <c r="H31" s="15">
        <f t="shared" si="6"/>
        <v>3.3</v>
      </c>
      <c r="J31" s="15">
        <f t="shared" si="2"/>
        <v>10.3</v>
      </c>
    </row>
    <row r="32" spans="1:11" x14ac:dyDescent="0.2">
      <c r="A32" s="7" t="s">
        <v>20</v>
      </c>
      <c r="C32" s="15">
        <f t="shared" ref="C32:H32" si="7">C$25*C8</f>
        <v>0</v>
      </c>
      <c r="D32" s="15">
        <f t="shared" si="7"/>
        <v>0</v>
      </c>
      <c r="E32" s="15">
        <f t="shared" si="7"/>
        <v>0</v>
      </c>
      <c r="F32" s="15">
        <f t="shared" si="7"/>
        <v>0</v>
      </c>
      <c r="G32" s="15">
        <f t="shared" si="7"/>
        <v>0</v>
      </c>
      <c r="H32" s="15">
        <f t="shared" si="7"/>
        <v>0</v>
      </c>
      <c r="J32" s="15">
        <f t="shared" si="2"/>
        <v>0</v>
      </c>
    </row>
    <row r="33" spans="1:10" x14ac:dyDescent="0.2">
      <c r="A33" s="9" t="s">
        <v>1</v>
      </c>
      <c r="C33" s="15">
        <f t="shared" ref="C33:H33" si="8">C$25*C9</f>
        <v>0</v>
      </c>
      <c r="D33" s="15">
        <f t="shared" si="8"/>
        <v>0</v>
      </c>
      <c r="E33" s="15">
        <f t="shared" si="8"/>
        <v>0</v>
      </c>
      <c r="F33" s="15">
        <f t="shared" si="8"/>
        <v>0</v>
      </c>
      <c r="G33" s="15">
        <f t="shared" si="8"/>
        <v>0</v>
      </c>
      <c r="H33" s="15">
        <f t="shared" si="8"/>
        <v>0</v>
      </c>
      <c r="J33" s="15">
        <f t="shared" si="2"/>
        <v>0</v>
      </c>
    </row>
    <row r="34" spans="1:10" x14ac:dyDescent="0.2">
      <c r="A34" s="11" t="s">
        <v>28</v>
      </c>
      <c r="C34" s="15">
        <f t="shared" ref="C34:H34" si="9">C$25*C10</f>
        <v>0</v>
      </c>
      <c r="D34" s="15">
        <f t="shared" si="9"/>
        <v>0</v>
      </c>
      <c r="E34" s="15">
        <f t="shared" si="9"/>
        <v>0</v>
      </c>
      <c r="F34" s="15">
        <f t="shared" si="9"/>
        <v>0</v>
      </c>
      <c r="G34" s="15">
        <f t="shared" si="9"/>
        <v>0</v>
      </c>
      <c r="H34" s="15">
        <f t="shared" si="9"/>
        <v>0</v>
      </c>
      <c r="J34" s="15">
        <f t="shared" si="2"/>
        <v>0</v>
      </c>
    </row>
    <row r="35" spans="1:10" x14ac:dyDescent="0.2">
      <c r="A35" s="9" t="s">
        <v>18</v>
      </c>
      <c r="C35" s="15">
        <f t="shared" ref="C35:H35" si="10">C$25*C11</f>
        <v>0</v>
      </c>
      <c r="D35" s="15">
        <f t="shared" si="10"/>
        <v>0</v>
      </c>
      <c r="E35" s="15">
        <f t="shared" si="10"/>
        <v>6.5</v>
      </c>
      <c r="F35" s="15">
        <f t="shared" si="10"/>
        <v>0</v>
      </c>
      <c r="G35" s="15">
        <f t="shared" si="10"/>
        <v>0</v>
      </c>
      <c r="H35" s="15">
        <f t="shared" si="10"/>
        <v>0</v>
      </c>
      <c r="J35" s="15">
        <f t="shared" si="2"/>
        <v>6.5</v>
      </c>
    </row>
    <row r="36" spans="1:10" x14ac:dyDescent="0.2">
      <c r="A36" s="7" t="s">
        <v>2</v>
      </c>
      <c r="C36" s="15">
        <f t="shared" ref="C36:H36" si="11">C$25*C12</f>
        <v>0</v>
      </c>
      <c r="D36" s="15">
        <f t="shared" si="11"/>
        <v>0</v>
      </c>
      <c r="E36" s="15">
        <f t="shared" si="11"/>
        <v>6.5</v>
      </c>
      <c r="F36" s="15">
        <f t="shared" si="11"/>
        <v>0</v>
      </c>
      <c r="G36" s="15">
        <f t="shared" si="11"/>
        <v>0</v>
      </c>
      <c r="H36" s="15">
        <f t="shared" si="11"/>
        <v>6.6</v>
      </c>
      <c r="J36" s="15">
        <f t="shared" si="2"/>
        <v>13.1</v>
      </c>
    </row>
    <row r="37" spans="1:10" x14ac:dyDescent="0.2">
      <c r="A37" s="12" t="s">
        <v>29</v>
      </c>
      <c r="C37" s="15">
        <f t="shared" ref="C37:H37" si="12">C$25*C13</f>
        <v>0</v>
      </c>
      <c r="D37" s="15">
        <f t="shared" si="12"/>
        <v>0</v>
      </c>
      <c r="E37" s="15">
        <f t="shared" si="12"/>
        <v>0</v>
      </c>
      <c r="F37" s="15">
        <f t="shared" si="12"/>
        <v>0</v>
      </c>
      <c r="G37" s="15">
        <f t="shared" si="12"/>
        <v>0</v>
      </c>
      <c r="H37" s="15">
        <f t="shared" si="12"/>
        <v>0</v>
      </c>
      <c r="J37" s="15">
        <f t="shared" si="2"/>
        <v>0</v>
      </c>
    </row>
    <row r="38" spans="1:10" x14ac:dyDescent="0.2">
      <c r="A38" s="7" t="s">
        <v>7</v>
      </c>
      <c r="C38" s="15">
        <f t="shared" ref="C38:H38" si="13">C$25*C14</f>
        <v>0</v>
      </c>
      <c r="D38" s="15">
        <f t="shared" si="13"/>
        <v>0</v>
      </c>
      <c r="E38" s="15">
        <f t="shared" si="13"/>
        <v>0</v>
      </c>
      <c r="F38" s="15">
        <f t="shared" si="13"/>
        <v>0</v>
      </c>
      <c r="G38" s="15">
        <f t="shared" si="13"/>
        <v>0</v>
      </c>
      <c r="H38" s="15">
        <f t="shared" si="13"/>
        <v>0</v>
      </c>
      <c r="J38" s="15">
        <f t="shared" si="2"/>
        <v>0</v>
      </c>
    </row>
    <row r="39" spans="1:10" x14ac:dyDescent="0.2">
      <c r="A39" s="9" t="s">
        <v>6</v>
      </c>
      <c r="C39" s="15">
        <f t="shared" ref="C39:H39" si="14">C$25*C15</f>
        <v>0</v>
      </c>
      <c r="D39" s="15">
        <f t="shared" si="14"/>
        <v>0</v>
      </c>
      <c r="E39" s="15">
        <f t="shared" si="14"/>
        <v>0</v>
      </c>
      <c r="F39" s="15">
        <f t="shared" si="14"/>
        <v>0</v>
      </c>
      <c r="G39" s="15">
        <f t="shared" si="14"/>
        <v>0</v>
      </c>
      <c r="H39" s="15">
        <f t="shared" si="14"/>
        <v>0</v>
      </c>
      <c r="J39" s="15">
        <f t="shared" si="2"/>
        <v>0</v>
      </c>
    </row>
    <row r="40" spans="1:10" x14ac:dyDescent="0.2">
      <c r="A40" s="7" t="s">
        <v>17</v>
      </c>
      <c r="C40" s="15">
        <f t="shared" ref="C40:H40" si="15">C$25*C16</f>
        <v>0</v>
      </c>
      <c r="D40" s="15">
        <f t="shared" si="15"/>
        <v>0</v>
      </c>
      <c r="E40" s="15">
        <f t="shared" si="15"/>
        <v>0</v>
      </c>
      <c r="F40" s="15">
        <f t="shared" si="15"/>
        <v>0</v>
      </c>
      <c r="G40" s="15">
        <f t="shared" si="15"/>
        <v>0</v>
      </c>
      <c r="H40" s="15">
        <f t="shared" si="15"/>
        <v>0</v>
      </c>
      <c r="J40" s="15">
        <f t="shared" si="2"/>
        <v>0</v>
      </c>
    </row>
    <row r="41" spans="1:10" x14ac:dyDescent="0.2">
      <c r="A41" s="9" t="s">
        <v>23</v>
      </c>
      <c r="C41" s="15">
        <f t="shared" ref="C41:H41" si="16">C$25*C17</f>
        <v>0</v>
      </c>
      <c r="D41" s="15">
        <f t="shared" si="16"/>
        <v>0</v>
      </c>
      <c r="E41" s="15">
        <f t="shared" si="16"/>
        <v>0</v>
      </c>
      <c r="F41" s="15">
        <f t="shared" si="16"/>
        <v>0</v>
      </c>
      <c r="G41" s="15">
        <f t="shared" si="16"/>
        <v>0</v>
      </c>
      <c r="H41" s="15">
        <f t="shared" si="16"/>
        <v>0</v>
      </c>
      <c r="J41" s="15">
        <f t="shared" si="2"/>
        <v>0</v>
      </c>
    </row>
    <row r="42" spans="1:10" x14ac:dyDescent="0.2">
      <c r="A42" s="7" t="s">
        <v>19</v>
      </c>
      <c r="C42" s="15">
        <f t="shared" ref="C42:H42" si="17">C$25*C18</f>
        <v>5</v>
      </c>
      <c r="D42" s="15">
        <f t="shared" si="17"/>
        <v>0</v>
      </c>
      <c r="E42" s="15">
        <f t="shared" si="17"/>
        <v>0</v>
      </c>
      <c r="F42" s="15">
        <f t="shared" si="17"/>
        <v>0</v>
      </c>
      <c r="G42" s="15">
        <f t="shared" si="17"/>
        <v>0</v>
      </c>
      <c r="H42" s="15">
        <f t="shared" si="17"/>
        <v>9.8999999999999986</v>
      </c>
      <c r="J42" s="15">
        <f t="shared" si="2"/>
        <v>14.899999999999999</v>
      </c>
    </row>
    <row r="43" spans="1:10" x14ac:dyDescent="0.2">
      <c r="A43" s="13" t="s">
        <v>44</v>
      </c>
      <c r="C43" s="15">
        <f t="shared" ref="C43:H43" si="18">C$25*C19</f>
        <v>5</v>
      </c>
      <c r="D43" s="15">
        <f t="shared" si="18"/>
        <v>6.2</v>
      </c>
      <c r="E43" s="15">
        <f t="shared" si="18"/>
        <v>0</v>
      </c>
      <c r="F43" s="15">
        <f t="shared" si="18"/>
        <v>0</v>
      </c>
      <c r="G43" s="15">
        <f t="shared" si="18"/>
        <v>0</v>
      </c>
      <c r="H43" s="15">
        <f t="shared" si="18"/>
        <v>3.3</v>
      </c>
      <c r="J43" s="15">
        <f t="shared" si="2"/>
        <v>14.5</v>
      </c>
    </row>
    <row r="44" spans="1:10" x14ac:dyDescent="0.2">
      <c r="A44" s="1" t="s">
        <v>40</v>
      </c>
      <c r="C44" s="15">
        <f t="shared" ref="C44:H44" si="19">C$25*C20</f>
        <v>0</v>
      </c>
      <c r="D44" s="15">
        <f t="shared" si="19"/>
        <v>0</v>
      </c>
      <c r="E44" s="15">
        <f t="shared" si="19"/>
        <v>0</v>
      </c>
      <c r="F44" s="15">
        <f t="shared" si="19"/>
        <v>0</v>
      </c>
      <c r="G44" s="15">
        <f t="shared" si="19"/>
        <v>0</v>
      </c>
      <c r="H44" s="15">
        <f t="shared" si="19"/>
        <v>3.3</v>
      </c>
      <c r="J44" s="15">
        <f t="shared" si="2"/>
        <v>3.3</v>
      </c>
    </row>
    <row r="45" spans="1:10" x14ac:dyDescent="0.2">
      <c r="A45" s="1" t="s">
        <v>45</v>
      </c>
      <c r="C45" s="15">
        <f t="shared" ref="C45:H45" si="20">C$25*C21</f>
        <v>0</v>
      </c>
      <c r="D45" s="15">
        <f t="shared" si="20"/>
        <v>0</v>
      </c>
      <c r="E45" s="15">
        <f t="shared" si="20"/>
        <v>0</v>
      </c>
      <c r="F45" s="15">
        <f t="shared" si="20"/>
        <v>0</v>
      </c>
      <c r="G45" s="15">
        <f t="shared" si="20"/>
        <v>0</v>
      </c>
      <c r="H45" s="15">
        <f t="shared" si="20"/>
        <v>3.3</v>
      </c>
      <c r="J45" s="15">
        <f t="shared" si="2"/>
        <v>3.3</v>
      </c>
    </row>
    <row r="46" spans="1:10" x14ac:dyDescent="0.2">
      <c r="A46" s="1"/>
      <c r="C46" s="15"/>
      <c r="D46" s="15"/>
      <c r="E46" s="15"/>
      <c r="F46" s="15"/>
      <c r="G46" s="15"/>
      <c r="H46" s="15"/>
      <c r="J46" s="15"/>
    </row>
    <row r="49" spans="10:10" x14ac:dyDescent="0.2">
      <c r="J49" s="15">
        <f>SUM(J26:J46)</f>
        <v>114.19999999999999</v>
      </c>
    </row>
  </sheetData>
  <hyperlinks>
    <hyperlink ref="A21" r:id="rId1" display="h.stehr@gmx.net" xr:uid="{BDCF67D5-FC08-264A-9C73-63BBBAA02B9B}"/>
    <hyperlink ref="A20" r:id="rId2" display="julianehorsch@gmail.com" xr:uid="{334CCE09-0C6B-3747-AB58-BDCD9264B7D9}"/>
    <hyperlink ref="A13" r:id="rId3" xr:uid="{0EED69C3-5D92-BA4E-AB60-A224A30A2F1A}"/>
    <hyperlink ref="A10" r:id="rId4" xr:uid="{1B9F07E0-E963-7048-96E9-B5F3133EC5BC}"/>
    <hyperlink ref="A17" r:id="rId5" xr:uid="{0B5A2598-CDA4-AE4D-B019-FD262EE2EADB}"/>
    <hyperlink ref="A7" r:id="rId6" xr:uid="{AEAA827A-2BFB-CA40-9681-2E8CB07FAC89}"/>
    <hyperlink ref="A8" r:id="rId7" xr:uid="{2E9BE910-088C-C146-9990-2226EFF53367}"/>
    <hyperlink ref="A11" r:id="rId8" xr:uid="{6815A2F2-BC4C-0D47-BB11-F363F9471797}"/>
    <hyperlink ref="A16" r:id="rId9" xr:uid="{6B7C8EFB-DFB7-644B-8B2A-EAC8AA9874C5}"/>
    <hyperlink ref="A18" r:id="rId10" xr:uid="{84605120-2617-8C41-83E7-3DFFDFB61E62}"/>
    <hyperlink ref="A14" r:id="rId11" xr:uid="{8120161F-3E24-8840-AD8A-63F4DBEB556B}"/>
    <hyperlink ref="A15" r:id="rId12" xr:uid="{0B3D7840-6FAC-4F48-A36A-7262F5100486}"/>
    <hyperlink ref="A6" r:id="rId13" xr:uid="{784D7B10-F2CA-1745-9466-73C62341C545}"/>
    <hyperlink ref="A2" r:id="rId14" xr:uid="{ADE0C0B2-A4AB-D748-A572-0943252DFF37}"/>
    <hyperlink ref="A4" r:id="rId15" xr:uid="{7D39BCF3-D965-4642-9415-B9EC670479D3}"/>
    <hyperlink ref="A3" r:id="rId16" xr:uid="{5C267DEA-9F02-CC4B-BBE5-2D1BAC66F7EC}"/>
    <hyperlink ref="A12" r:id="rId17" xr:uid="{8D59B1C6-84C7-D742-AA66-BF34E8A6F09D}"/>
    <hyperlink ref="A9" r:id="rId18" xr:uid="{2306E54A-ECE7-FC4B-972C-DAD529417455}"/>
    <hyperlink ref="A5" r:id="rId19" xr:uid="{D38A3DFD-4D1B-4B4F-96BC-74ACECA5D547}"/>
    <hyperlink ref="A45" r:id="rId20" display="h.stehr@gmx.net" xr:uid="{59AEB572-28A8-E145-802E-153F82E872A1}"/>
    <hyperlink ref="A44" r:id="rId21" display="julianehorsch@gmail.com" xr:uid="{D020FDA8-E9C6-534B-8527-98DA032DC7BD}"/>
    <hyperlink ref="A37" r:id="rId22" xr:uid="{1CA9FC5C-ACFC-9F44-931C-A8E72EC52C36}"/>
    <hyperlink ref="A34" r:id="rId23" xr:uid="{F9CFC312-3D83-8F44-87B3-9A7DE391CD98}"/>
    <hyperlink ref="A41" r:id="rId24" xr:uid="{7EB0F6A0-5286-7746-A9FA-9DBD4A454B05}"/>
    <hyperlink ref="A31" r:id="rId25" xr:uid="{37AC27D2-79AE-0846-B3A6-6F2B2AE6A9B7}"/>
    <hyperlink ref="A32" r:id="rId26" xr:uid="{34F4630B-CC8F-2548-935A-46DFC9EB8EED}"/>
    <hyperlink ref="A35" r:id="rId27" xr:uid="{0C920999-0CDE-0A46-910B-FED4D1450362}"/>
    <hyperlink ref="A40" r:id="rId28" xr:uid="{3D69294F-FFA0-DE45-9B39-002B86263993}"/>
    <hyperlink ref="A42" r:id="rId29" xr:uid="{C37B144A-E5F7-D04D-B0B9-38919AE44F5A}"/>
    <hyperlink ref="A38" r:id="rId30" xr:uid="{18340B58-03D2-2443-8D45-5DD6CDD0D05B}"/>
    <hyperlink ref="A39" r:id="rId31" xr:uid="{EFF2C26C-A770-4843-8D90-93C52578E00D}"/>
    <hyperlink ref="A30" r:id="rId32" xr:uid="{389E30F0-DF14-3B4E-9133-3137A205C31D}"/>
    <hyperlink ref="A26" r:id="rId33" xr:uid="{C045F487-F25D-9B41-BE86-0F37D2D1965F}"/>
    <hyperlink ref="A28" r:id="rId34" xr:uid="{864A9525-F2B4-9F4A-B315-BEA953F5D4D2}"/>
    <hyperlink ref="A27" r:id="rId35" xr:uid="{BFF158B5-FC9E-DC4C-ADEF-B39B907AB6FC}"/>
    <hyperlink ref="A36" r:id="rId36" xr:uid="{F04D6957-A3A2-5047-B146-65E73A06A683}"/>
    <hyperlink ref="A33" r:id="rId37" xr:uid="{422635A2-6EF0-654F-AF62-DDD389B8E885}"/>
    <hyperlink ref="A29" r:id="rId38" xr:uid="{9C12D573-9D9E-A248-843C-5C3264C40964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Schmidt</dc:creator>
  <cp:lastModifiedBy>Andreas Schmidt</cp:lastModifiedBy>
  <dcterms:created xsi:type="dcterms:W3CDTF">2025-05-25T08:16:07Z</dcterms:created>
  <dcterms:modified xsi:type="dcterms:W3CDTF">2025-09-13T09:32:03Z</dcterms:modified>
</cp:coreProperties>
</file>