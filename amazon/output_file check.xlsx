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ndreasschmidt/CodingProjects/roastTime_Analysis/amazon/"/>
    </mc:Choice>
  </mc:AlternateContent>
  <xr:revisionPtr revIDLastSave="0" documentId="13_ncr:1_{7D998920-BE03-434C-B2C4-A789770D6954}" xr6:coauthVersionLast="47" xr6:coauthVersionMax="47" xr10:uidLastSave="{00000000-0000-0000-0000-000000000000}"/>
  <bookViews>
    <workbookView xWindow="0" yWindow="500" windowWidth="27040" windowHeight="17560" xr2:uid="{00000000-000D-0000-FFFF-FFFF00000000}"/>
  </bookViews>
  <sheets>
    <sheet name="Sheet1" sheetId="1" r:id="rId1"/>
    <sheet name="Tabelle1" sheetId="2" r:id="rId2"/>
  </sheets>
  <definedNames>
    <definedName name="transactions_5" localSheetId="1">Tabelle1!$A$1:$F$38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E3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6D090E-A2CE-0F4E-9CF5-9B6EA50F68C7}" name="transactions-5" type="6" refreshedVersion="8" background="1" saveData="1">
    <textPr codePage="65001" sourceFile="/Users/andreasschmidt/Downloads/transactions-5.csv" decimal="," thousands=" " tab="0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<sst xmlns="http://schemas.openxmlformats.org/spreadsheetml/2006/main" count="428" uniqueCount="219">
  <si>
    <t>Bestelldatum</t>
  </si>
  <si>
    <t>Bestellnummer</t>
  </si>
  <si>
    <t>Bestellmenge</t>
  </si>
  <si>
    <t>Zahlungsreferenznummer</t>
  </si>
  <si>
    <t>Zwischensumme</t>
  </si>
  <si>
    <t>Versandkosten für Artikel</t>
  </si>
  <si>
    <t>Zahlungsdatum</t>
  </si>
  <si>
    <t>Zahlungsbetrag</t>
  </si>
  <si>
    <t>Umsatzsteuersatz für die Artikelzwischensumme</t>
  </si>
  <si>
    <t>Titel</t>
  </si>
  <si>
    <t>Amazon-interne Produktkategorie</t>
  </si>
  <si>
    <t>Segment</t>
  </si>
  <si>
    <t>27/11/2024</t>
  </si>
  <si>
    <t>306-9950669-2281107</t>
  </si>
  <si>
    <t>4IG0ZTLT21205OV0</t>
  </si>
  <si>
    <t>28/11/2024</t>
  </si>
  <si>
    <t>Epson - BS Label CONSUMABLES U4 SJIC42P-BK Cartridge</t>
  </si>
  <si>
    <t>Office Product</t>
  </si>
  <si>
    <t>Büroausstattung, Zubehör und Bürobedarf</t>
  </si>
  <si>
    <t>26/11/2024</t>
  </si>
  <si>
    <t>028-0424960-7065108</t>
  </si>
  <si>
    <t>3F67SB1TIM0NVGRQ</t>
  </si>
  <si>
    <t>Amazon Basics Textmarkers in Mehrfarbig, Waschladungen, 8 stück (1er Pack)</t>
  </si>
  <si>
    <t>CJT1QINAO3F7JR9C</t>
  </si>
  <si>
    <t>Werkzeyt Kreppband 50 m x 25 mm - Praktisches 3er Set - Für einfache Abdeck- &amp; Malerarbeiten - Universell einsetzbar - Rückstandfrei ablösbar / Abklebeband / Malerkrepp / Feinkreppband / B22299</t>
  </si>
  <si>
    <t>Home Improvement</t>
  </si>
  <si>
    <t>Produktionskomponenten und -material</t>
  </si>
  <si>
    <t>028-9929467-7324358</t>
  </si>
  <si>
    <t>5XSSEGJG1TIZGVUG</t>
  </si>
  <si>
    <t>edding 300 Permanentmarker - schwarz - 10 Stifte - Rundspitze 1,5-3 mm - wasserfest, schnell-trocknend - wischfest - für Karton, Kunststoff, Glas, Holz, Metall, Glas</t>
  </si>
  <si>
    <t>25/11/2024</t>
  </si>
  <si>
    <t>028-3415386-4333903</t>
  </si>
  <si>
    <t>5BQVDQFILUDYPNJP</t>
  </si>
  <si>
    <t>Urnex - Cafiza Reinigungspulver für Espressomaschinen, 566 g</t>
  </si>
  <si>
    <t>Drogerie &amp; Körperpflege</t>
  </si>
  <si>
    <t>Reinigungsgeräte und Zubehör</t>
  </si>
  <si>
    <t>028-7621158-6907536</t>
  </si>
  <si>
    <t>64LCLUHQTIPKRRC3</t>
  </si>
  <si>
    <t>JEHONN Besen und Kehrschaufelset Set mit Langem Griff, 180 Grad Drehbar Kehrmaschine und Kehrschaufel Combo für Haus, Büro, Lobbykehr</t>
  </si>
  <si>
    <t>Lawn &amp; Patio</t>
  </si>
  <si>
    <t>23/11/2024</t>
  </si>
  <si>
    <t>028-2205786-0405141</t>
  </si>
  <si>
    <t>373PIFVEYMNCLVL2</t>
  </si>
  <si>
    <t>Einweghandschuhe CleanHands, Fäustlinge 100 Stück, Einmalhandschuhe</t>
  </si>
  <si>
    <t>Küche &amp; Haushalt</t>
  </si>
  <si>
    <t>Haushaltsgeräte und -waren und Unterhaltungselektronik</t>
  </si>
  <si>
    <t>028-6399654-1076338</t>
  </si>
  <si>
    <t>77R9L5MCR7YF2OWE</t>
  </si>
  <si>
    <t>24/11/2024</t>
  </si>
  <si>
    <t>Epson Premium matte Label Continuous, 1 Roll, 76 mm x 35 m</t>
  </si>
  <si>
    <t>Veröffentlichte Produkte</t>
  </si>
  <si>
    <t>21/11/2024</t>
  </si>
  <si>
    <t>028-4952782-4289950</t>
  </si>
  <si>
    <t>5QDDWU1Z4QL8P0IN</t>
  </si>
  <si>
    <t>22/11/2024</t>
  </si>
  <si>
    <t>Innotic Wäscheständer mit Rollen Multifunktional 4 etagen Wäscheständer Turm Klappbar Standtrockner Wäscheständer Platzsparender mit Flügel Wäscheturm fur Innen und draußen (Weiß Grau)</t>
  </si>
  <si>
    <t>Home</t>
  </si>
  <si>
    <t>Möbel und Einrichtungsgegenstände</t>
  </si>
  <si>
    <t>2YLR00PTO9KXC1NG</t>
  </si>
  <si>
    <t>Mellerud Kamin &amp; Ofenglas Reiniger | 1 x 0,5 l | Reinigungsmittel zum Entfernen von hartnäckigen Verschmutzungen auf Kamin- und Ofenglasscheiben</t>
  </si>
  <si>
    <t>Bekleidung, Gepäck sund Körperpflegeprodukte</t>
  </si>
  <si>
    <t>028-9861020-7277946</t>
  </si>
  <si>
    <t>6ZXNLN5851G83E4Q</t>
  </si>
  <si>
    <t>2 x Sterillium Hände - Desinfektionsmittel 1000 ml.</t>
  </si>
  <si>
    <t>19/11/2024</t>
  </si>
  <si>
    <t>028-2531733-8332314</t>
  </si>
  <si>
    <t>22310I52WHEEJ2WK</t>
  </si>
  <si>
    <t>20/11/2024</t>
  </si>
  <si>
    <t>Relaxdays Achtung Rutschgefahr Aufsteller, klappbar, Warnschild vor Glätte, beidseitig beschriftet, Hinweisschild, gelb, 1 Stück</t>
  </si>
  <si>
    <t>LKYPLPLRVVULFL6F</t>
  </si>
  <si>
    <t>BOMEI PACK Antirutsch Klebeband Streifen mit Selbstklebend, 15cm x 10m Treppe Stufen Band Kleber Rutschfest Klebeband, Hohe Traktion für innen- und Außenbereich Schwarz Wasserfest (15cmx10m)</t>
  </si>
  <si>
    <t>Business, Industrial, &amp; Scientific Supplies Basic</t>
  </si>
  <si>
    <t>18/11/2024</t>
  </si>
  <si>
    <t>028-8897069-6044364</t>
  </si>
  <si>
    <t>1VD5LA3X1VMEERUS</t>
  </si>
  <si>
    <t>IMS Competition Precision Shower Screeen For La Marzocco - MA 200 IM by IMS</t>
  </si>
  <si>
    <t>Strukturen und Bau-, Konstruktions- und Fertigungskomponenten und -zubehör</t>
  </si>
  <si>
    <t>028-1340269-9734742</t>
  </si>
  <si>
    <t>4MSFD5DZ2QEPGAOQ</t>
  </si>
  <si>
    <t>BenBow Eimer mit Deckel 10l weiß 10x 10l - lebensmittelecht, stabil, luftdicht, auslaufsicher, geruchsneutral - Aufbewahrungsbehälter aus Kunststoff, mit Henkel - leer</t>
  </si>
  <si>
    <t>028-4585583-3944351</t>
  </si>
  <si>
    <t>5WINOUQOFR2RLM9S</t>
  </si>
  <si>
    <t>by Amazon Müllbeutel 30 x 60L</t>
  </si>
  <si>
    <t>384YCRWRQ2UOV4J3</t>
  </si>
  <si>
    <t>Duni Serviette, Papier, weiß, 33 cm, 250</t>
  </si>
  <si>
    <t>16/11/2024</t>
  </si>
  <si>
    <t>028-1051978-6897918</t>
  </si>
  <si>
    <t>HD65SJ9JGHLE648Y</t>
  </si>
  <si>
    <t>Der Pömpel I Pümpel, Saugglocke Abfluss 140mm groß, Perfekter Abflussreiniger für Dusche, Toilette, Badewanne oder Waschbecken in top Handwerksqualität "Made in Germany" von aquabook</t>
  </si>
  <si>
    <t>028-2530261-7195511</t>
  </si>
  <si>
    <t>2BRFRTJ52ZGRX6Y6</t>
  </si>
  <si>
    <t>Türschild Nur Personal UV Druck 12 x 12cm - 3mm Aluverbund - Made in Germany Art.Nr. 2138 Silber</t>
  </si>
  <si>
    <t>2F1UJHYQKMSO4CUA</t>
  </si>
  <si>
    <t>BIKE-label Türschild 3D Aufkleber Dm 45 mm in Alu Optik Ziehen Drücken 900020</t>
  </si>
  <si>
    <t>12/11/2024</t>
  </si>
  <si>
    <t>028-3415327-7217953</t>
  </si>
  <si>
    <t>20YI6O1WND6WBTL8</t>
  </si>
  <si>
    <t>300mm Heißsiegelgerät Folienschweißgerät, Folienschweißgerät, Impulse Heat Bag Sealer, Bag Sealer, Versiegelungsmaschine, Siegelmaschine Plastik, Dichtungsbreite Balkenschweißgerät, für Mylar PP Beute</t>
  </si>
  <si>
    <t>3XCQSBSDCD8YAKNL</t>
  </si>
  <si>
    <t>Scott Essential Papierhandtücher 6603 - Narrowfold-Handtuchpapier - 12 Clips x 220 weiße Papierhandtücher (insges. 2.640)</t>
  </si>
  <si>
    <t>Papiermaterialien und -produkte</t>
  </si>
  <si>
    <t>11/11/2024</t>
  </si>
  <si>
    <t>028-3218942-3821953</t>
  </si>
  <si>
    <t>6OLTKXZVW3B5JHXO</t>
  </si>
  <si>
    <t>nemabest® SF Nematoden 6 Mio. (60 Pflanzen/12m²) gegen Trauermücken</t>
  </si>
  <si>
    <t>028-0513820-4465907</t>
  </si>
  <si>
    <t>3T0NRY123QZ0C1WJ</t>
  </si>
  <si>
    <t>Airmall Prägegerät Etiketten Ersatz für Dymo Prägeband 9mm Schwarz, Selbstklebendes 3D Dymo Omega Etikettenband Schwarz, Kunststoff-Prägeetiketten für Dymo Omega Junior Prägegerät, 5 Rollen</t>
  </si>
  <si>
    <t>09/11/2024</t>
  </si>
  <si>
    <t>028-1132248-3681118</t>
  </si>
  <si>
    <t>6C4F0BWFORX84U7Y</t>
  </si>
  <si>
    <t>Westmark Back-/Abwiege-/Abfüllschaufel, Füllvolumen: 1100 ml (ca. 1000 g Mehl), Aluminium, Hygia, Silber, 91812291</t>
  </si>
  <si>
    <t>07/11/2024</t>
  </si>
  <si>
    <t>028-3017498-0505141</t>
  </si>
  <si>
    <t>6JN9VLGJLROAX771</t>
  </si>
  <si>
    <t>08/11/2024</t>
  </si>
  <si>
    <t>SUMNACON 12 Stück Single Dose Kaffeebohnen Aufbewahrung mit Holz Halter und Deckel Kaffeebehälter Glasfläschchen Aufbewahrungsröhren für Kaffeebohnen Einzelhandel Bar Restaurants</t>
  </si>
  <si>
    <t>028-3971060-8740340</t>
  </si>
  <si>
    <t>13J23QKEGM33UQYO</t>
  </si>
  <si>
    <t>keeeper Frischhaltedosenset 6-teilig, 6 x 90 ml, 6,5 x 6,5 x 4 cm, Fredo Fresh, Blau Transparent</t>
  </si>
  <si>
    <t>06/11/2024</t>
  </si>
  <si>
    <t>028-2778156-0685134</t>
  </si>
  <si>
    <t>5LH0SZ0F992G0H2T</t>
  </si>
  <si>
    <t>Amazon Basics, Klassische 30 cm Leicht Ablesbare Lautlose Batteriebetriebene Runde Wanduhr, Schwarz</t>
  </si>
  <si>
    <t>Uhren, Schmuck- und Edelsteinprodukte</t>
  </si>
  <si>
    <t>028-8804014-8634716</t>
  </si>
  <si>
    <t>3DVGGH9C771KA3HV</t>
  </si>
  <si>
    <t>Mennekes 13112 Stecker PowerTOP</t>
  </si>
  <si>
    <t>Elektrische Systeme, Beleuchtung, Komponenten und Zubehör</t>
  </si>
  <si>
    <t>05/11/2024</t>
  </si>
  <si>
    <t>028-3552427-6422755</t>
  </si>
  <si>
    <t>3516JQFGHS7D8O0G</t>
  </si>
  <si>
    <t>HENDI Spenderflasche, Stückzahl: 1, Easy Squeeze, für Saucen, Squeeze Flasche, Quetschflasche, Dosierflasche, 350ml, ø55x(H)205mm, Polyethylen, Polypropylen Kappe, Transparent</t>
  </si>
  <si>
    <t>028-7830690-5355546</t>
  </si>
  <si>
    <t>75T0TCPHK0OL8488</t>
  </si>
  <si>
    <t>02/11/2024</t>
  </si>
  <si>
    <t>306-4665877-5452321</t>
  </si>
  <si>
    <t>2KLHNZIA42W44I73</t>
  </si>
  <si>
    <t>03/11/2024</t>
  </si>
  <si>
    <t>Vueinrg Nussmilchbeutel mit Ständer 4 Stück Passiertuch Wiederverwendbar und Waschbar Nut Milk Bag Baumwolle Siebbeutel Nylon mit Reißverschluss Nussmilchsieb für Nussmilch Obstsaft Joghurt Kaffee</t>
  </si>
  <si>
    <t>028-9847684-5110710</t>
  </si>
  <si>
    <t>3GZB7O0Y8010ZU02</t>
  </si>
  <si>
    <t>Mennekes (Unternehmen) 101300054 prolongadores Power Top Xtra, Steckdosen CEE, 400 V, 50-60 Hz, 63 A, 5-polig, IP 44 Grad Schutz, Rot</t>
  </si>
  <si>
    <t>Werkzeuge und allgemeine Maschinen</t>
  </si>
  <si>
    <t>01/11/2024</t>
  </si>
  <si>
    <t>028-0018120-7665964</t>
  </si>
  <si>
    <t>295BG4SI42R33X81</t>
  </si>
  <si>
    <t>Double Dragon, 80 x 80 mm Premium Thermopapier Kassenrollen für EPOS-Drucker, POS-Terminal, Kassensystem [Packung mit 20]</t>
  </si>
  <si>
    <t>5M1JJS6V397U9WK9</t>
  </si>
  <si>
    <t>04/11/2024</t>
  </si>
  <si>
    <t>DIN A3 Werbeaufsteller/T-Ständer/T-Aufsteller im Querformat/Tischaufsteller aus original PLEXIGLAS®</t>
  </si>
  <si>
    <t>028-8703630-6550714</t>
  </si>
  <si>
    <t>WAY62QS8KZW306G2</t>
  </si>
  <si>
    <t>Versandkosten für Artikel2</t>
  </si>
  <si>
    <t>Check</t>
  </si>
  <si>
    <t>x</t>
  </si>
  <si>
    <t>﻿"Status"</t>
  </si>
  <si>
    <t>Name</t>
  </si>
  <si>
    <t>Beschreibung</t>
  </si>
  <si>
    <t>Bezahldatum</t>
  </si>
  <si>
    <t>Betrag</t>
  </si>
  <si>
    <t>offen</t>
  </si>
  <si>
    <t>AMAZON EU S.A R.L., NIEDERLASSUNG DEUTSCHLAND</t>
  </si>
  <si>
    <t>306-9950669-2281107 Amazon.de 4IG0ZTLT21205OV0</t>
  </si>
  <si>
    <t>02.12.2024</t>
  </si>
  <si>
    <t>028-9929467-7324358 Amazon.de 5XSSEGJG1TIZGVUG</t>
  </si>
  <si>
    <t>29.11.2024</t>
  </si>
  <si>
    <t>AMAZON PAYMENTS EUROPE S.C.A.</t>
  </si>
  <si>
    <t>028-0424960-7065108 AMZN Mktp DE CJT1QINAO3F7JR9C</t>
  </si>
  <si>
    <t>28.11.2024</t>
  </si>
  <si>
    <t>028-0424960-7065108 AMZN Mktp DE 3F67SB1TIM0NVGRQ</t>
  </si>
  <si>
    <t>028-7621158-6907536 AMZN Mktp DE 64LCLUHQTIPKRRC3</t>
  </si>
  <si>
    <t>27.11.2024</t>
  </si>
  <si>
    <t>028-3415386-4333903 AMZN Mktp DE 5BQVDQFILUDYPNJP</t>
  </si>
  <si>
    <t>028-2205786-0405141 AMZN Mktp DE 373PIFVEYMNCLVL2</t>
  </si>
  <si>
    <t>028-6399654-1076338 AMZN Mktp DE 77R9L5MCR7YF2OWE</t>
  </si>
  <si>
    <t>26.11.2024</t>
  </si>
  <si>
    <t>028-4952782-4289950 AMZN Mktp DE 5QDDWU1Z4QL8P0IN</t>
  </si>
  <si>
    <t>25.11.2024</t>
  </si>
  <si>
    <t>028-4952782-4289950 AMZN Mktp DE 2YLR00PTO9KXC1NG</t>
  </si>
  <si>
    <t>028-9861020-7277946 AMZN Mktp DE 6ZXNLN5851G83E4Q</t>
  </si>
  <si>
    <t>028-2531733-8332314 AMZN Mktp DE LKYPLPLRVVULFL6F</t>
  </si>
  <si>
    <t>21.11.2024</t>
  </si>
  <si>
    <t>028-2531733-8332314 AMZN Mktp DE 22310I52WHEEJ2WK</t>
  </si>
  <si>
    <t>028-8897069-6044364 AMZN Mktp DE 1VD5LA3X1VMEERUS</t>
  </si>
  <si>
    <t>028-1051978-6897918 AMZN Mktp DE HD65SJ9JGHLE648Y</t>
  </si>
  <si>
    <t>20.11.2024</t>
  </si>
  <si>
    <t>028-4585583-3944351 Amazon.de 5WINOUQOFR2RLM9S</t>
  </si>
  <si>
    <t>028-4585583-3944351 Amazon.de 384YCRWRQ2UOV4J3</t>
  </si>
  <si>
    <t>028-2530261-7195511 AMZN Mktp DE 2BRFRTJ52ZGRX6Y6</t>
  </si>
  <si>
    <t>028-1340269-9734742 AMZN Mktp DE 4MSFD5DZ2QEPGAOQ</t>
  </si>
  <si>
    <t>028-2530261-7195511 AMZN Mktp DE 2F1UJHYQKMSO4CUA</t>
  </si>
  <si>
    <t>AMAZON BUSINESS EU SARL DE</t>
  </si>
  <si>
    <t>028-0018120-7665964 AMZNBusiness 2XT3MGWEBPNVM5KB</t>
  </si>
  <si>
    <t>19.11.2024</t>
  </si>
  <si>
    <t>028-3415327-7217953 AMZN Mktp DE 20YI6O1WND6WBTL8</t>
  </si>
  <si>
    <t>14.11.2024</t>
  </si>
  <si>
    <t>028-3415327-7217953 AMZN Mktp DE 3XCQSBSDCD8YAKNL</t>
  </si>
  <si>
    <t>028-0513820-4465907 AMZN Mktp DE 3T0NRY123QZ0C1WJ</t>
  </si>
  <si>
    <t>13.11.2024</t>
  </si>
  <si>
    <t>028-3218942-3821953 AMZN Mktp DE 6OLTKXZVW3B5JHXO</t>
  </si>
  <si>
    <t>028-1132248-3681118 AMZN Mktp DE 6C4F0BWFORX84U7Y</t>
  </si>
  <si>
    <t>12.11.2024</t>
  </si>
  <si>
    <t>AMAZON BUSINESS EU SARL</t>
  </si>
  <si>
    <t>028-3971060-8740340 AMZNBusiness 13J23QKEGM33UQYO</t>
  </si>
  <si>
    <t>11.11.2024</t>
  </si>
  <si>
    <t>028-3017498-0505141 AMZN Mktp DE 6JN9VLGJLROAX771</t>
  </si>
  <si>
    <t>028-8804014-8634716 AMZN Mktp DE 3DVGGH9C771KA3HV</t>
  </si>
  <si>
    <t>08.11.2024</t>
  </si>
  <si>
    <t>028-2778156-0685134 AMZNBusiness 5LH0SZ0F992G0H2T</t>
  </si>
  <si>
    <t>028-7830690-5355546 AMZNBusiness 75T0TCPHK0OL8488</t>
  </si>
  <si>
    <t>07.11.2024</t>
  </si>
  <si>
    <t>028-3552427-6422755 AMZNBusiness 3516JQFGHS7D8O0G</t>
  </si>
  <si>
    <t>028-0018120-7665964 AMZNBusiness 295BG4SI42R33X81</t>
  </si>
  <si>
    <t>05.11.2024</t>
  </si>
  <si>
    <t>028-8703630-6550714 AMZNBusiness WAY62QS8KZW306G2</t>
  </si>
  <si>
    <t>028-9847684-5110710 AMZN Mktp DE 3GZB7O0Y8010ZU02</t>
  </si>
  <si>
    <t>306-4665877-5452321 AMZN Mktp DE 2KLHNZIA42W44I73</t>
  </si>
  <si>
    <t>028-0018120-7665964 AMZNBusiness 5M1JJS6V397U9WK9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</si>
</sst>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s-5" connectionId="1" xr16:uid="{A4B2714F-338B-3945-B930-8B7FE156FB55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22C0F-3CE7-7B45-B1E5-C6BD8861DC80}" name="Tabelle1" displayName="Tabelle1" ref="A1:N38" totalsRowCount="1" headerRowDxfId="2" headerRowBorderDxfId="1" tableBorderDxfId="0">
  <autoFilter ref="A1:N37" xr:uid="{38C22C0F-3CE7-7B45-B1E5-C6BD8861DC80}"/>
  <sortState xmlns:xlrd2="http://schemas.microsoft.com/office/spreadsheetml/2017/richdata2" ref="A2:N37">
    <sortCondition ref="G1:G37"/>
  </sortState>
  <tableColumns count="14">
    <tableColumn id="1" xr3:uid="{A5C4D57C-C9FC-A047-8ADD-DEA63E46654C}" name="Bestelldatum"/>
    <tableColumn id="2" xr3:uid="{4CAFD3B4-BE68-D944-930C-FD8EB828FA9C}" name="Bestellnummer"/>
    <tableColumn id="3" xr3:uid="{20FBDFE7-46CC-1B43-BDC6-B271A0AF11F8}" name="Bestellmenge"/>
    <tableColumn id="4" xr3:uid="{BDFDB59E-9F1B-F342-9C0C-86AD3E6EEB06}" name="Zahlungsreferenznummer"/>
    <tableColumn id="5" xr3:uid="{3A296710-C8D7-3347-9373-542D069EDA38}" name="Zwischensumme"/>
    <tableColumn id="6" xr3:uid="{E5AFF828-A803-E34D-BAC8-41338DFF65F7}" name="Versandkosten für Artikel"/>
    <tableColumn id="7" xr3:uid="{39341764-5EFB-3D45-BC02-74DD492BDE0C}" name="Zahlungsdatum"/>
    <tableColumn id="8" xr3:uid="{AA1FDFD9-A730-0049-A708-6DCC581960B3}" name="Zahlungsbetrag" totalsRowFunction="custom">
      <totalsRowFormula>SUM(Tabelle1[Zahlungsbetrag])</totalsRowFormula>
    </tableColumn>
    <tableColumn id="14" xr3:uid="{CF0CFC41-2F57-D042-9AA0-D5542DE16B5F}" name="Check"/>
    <tableColumn id="9" xr3:uid="{43A437D9-5F3B-984A-BEFE-D6A8B6892F1A}" name="Versandkosten für Artikel2"/>
    <tableColumn id="10" xr3:uid="{E4745F37-D2E4-FD46-B26B-EE43FF6AB4E0}" name="Umsatzsteuersatz für die Artikelzwischensumme"/>
    <tableColumn id="11" xr3:uid="{35BA1625-9F14-604E-885E-BDF1E4FE0D26}" name="Titel"/>
    <tableColumn id="12" xr3:uid="{B41B73C8-30F0-D643-AE2E-C862AA7A764D}" name="Amazon-interne Produktkategorie"/>
    <tableColumn id="13" xr3:uid="{D2A27F67-7020-4948-B28C-8F3FA4A5795A}" name="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H39" sqref="H39"/>
    </sheetView>
  </sheetViews>
  <sheetFormatPr baseColWidth="10" defaultColWidth="8.83203125" defaultRowHeight="15" x14ac:dyDescent="0.2"/>
  <cols>
    <col min="1" max="1" width="13.83203125" customWidth="1"/>
    <col min="2" max="2" width="19.33203125" bestFit="1" customWidth="1"/>
    <col min="3" max="3" width="14.1640625" customWidth="1"/>
    <col min="4" max="4" width="23.33203125" customWidth="1"/>
    <col min="5" max="5" width="16.33203125" customWidth="1"/>
    <col min="6" max="6" width="23.1640625" customWidth="1"/>
    <col min="7" max="9" width="15.1640625" customWidth="1"/>
    <col min="10" max="10" width="24.1640625" customWidth="1"/>
    <col min="11" max="11" width="40.5" customWidth="1"/>
    <col min="13" max="13" width="29.83203125" customWidth="1"/>
    <col min="14" max="14" width="10.3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154</v>
      </c>
      <c r="J1" s="1" t="s">
        <v>153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t="s">
        <v>144</v>
      </c>
      <c r="B2" t="s">
        <v>145</v>
      </c>
      <c r="C2">
        <v>2</v>
      </c>
      <c r="D2" t="s">
        <v>146</v>
      </c>
      <c r="E2">
        <v>50.87</v>
      </c>
      <c r="F2">
        <v>0</v>
      </c>
      <c r="G2" t="s">
        <v>138</v>
      </c>
      <c r="H2">
        <v>26.99</v>
      </c>
      <c r="I2" t="s">
        <v>155</v>
      </c>
      <c r="J2">
        <v>0</v>
      </c>
      <c r="K2">
        <v>0.19</v>
      </c>
      <c r="L2" t="s">
        <v>147</v>
      </c>
      <c r="M2" t="s">
        <v>17</v>
      </c>
      <c r="N2" t="s">
        <v>100</v>
      </c>
    </row>
    <row r="3" spans="1:14" x14ac:dyDescent="0.2">
      <c r="A3" t="s">
        <v>135</v>
      </c>
      <c r="B3" t="s">
        <v>136</v>
      </c>
      <c r="C3">
        <v>1</v>
      </c>
      <c r="D3" t="s">
        <v>137</v>
      </c>
      <c r="E3">
        <v>6.65</v>
      </c>
      <c r="F3">
        <v>0</v>
      </c>
      <c r="G3" t="s">
        <v>138</v>
      </c>
      <c r="H3">
        <v>7.91</v>
      </c>
      <c r="I3" t="s">
        <v>155</v>
      </c>
      <c r="J3">
        <v>0</v>
      </c>
      <c r="K3">
        <v>0.19</v>
      </c>
      <c r="L3" t="s">
        <v>139</v>
      </c>
      <c r="M3" t="s">
        <v>56</v>
      </c>
      <c r="N3" t="s">
        <v>45</v>
      </c>
    </row>
    <row r="4" spans="1:14" x14ac:dyDescent="0.2">
      <c r="A4" t="s">
        <v>135</v>
      </c>
      <c r="B4" t="s">
        <v>140</v>
      </c>
      <c r="C4">
        <v>1</v>
      </c>
      <c r="D4" t="s">
        <v>141</v>
      </c>
      <c r="E4">
        <v>56.45</v>
      </c>
      <c r="F4">
        <v>0</v>
      </c>
      <c r="G4" t="s">
        <v>138</v>
      </c>
      <c r="H4">
        <v>67.180000000000007</v>
      </c>
      <c r="I4" t="s">
        <v>155</v>
      </c>
      <c r="J4">
        <v>0</v>
      </c>
      <c r="K4">
        <v>0.19</v>
      </c>
      <c r="L4" t="s">
        <v>142</v>
      </c>
      <c r="M4" t="s">
        <v>25</v>
      </c>
      <c r="N4" t="s">
        <v>143</v>
      </c>
    </row>
    <row r="5" spans="1:14" x14ac:dyDescent="0.2">
      <c r="A5" t="s">
        <v>144</v>
      </c>
      <c r="B5" t="s">
        <v>151</v>
      </c>
      <c r="C5">
        <v>1</v>
      </c>
      <c r="D5" t="s">
        <v>152</v>
      </c>
      <c r="E5">
        <v>28.19</v>
      </c>
      <c r="F5">
        <v>0</v>
      </c>
      <c r="G5" t="s">
        <v>138</v>
      </c>
      <c r="H5">
        <v>33.549999999999997</v>
      </c>
      <c r="I5" t="s">
        <v>155</v>
      </c>
      <c r="J5">
        <v>0</v>
      </c>
      <c r="K5">
        <v>0.19</v>
      </c>
      <c r="L5" t="s">
        <v>150</v>
      </c>
      <c r="M5" t="s">
        <v>17</v>
      </c>
      <c r="N5" t="s">
        <v>18</v>
      </c>
    </row>
    <row r="6" spans="1:14" x14ac:dyDescent="0.2">
      <c r="A6" t="s">
        <v>144</v>
      </c>
      <c r="B6" t="s">
        <v>145</v>
      </c>
      <c r="C6">
        <v>2</v>
      </c>
      <c r="D6" t="s">
        <v>148</v>
      </c>
      <c r="E6">
        <v>50.87</v>
      </c>
      <c r="F6">
        <v>0</v>
      </c>
      <c r="G6" t="s">
        <v>149</v>
      </c>
      <c r="H6">
        <v>33.549999999999997</v>
      </c>
      <c r="I6" t="s">
        <v>155</v>
      </c>
      <c r="J6">
        <v>0</v>
      </c>
      <c r="K6">
        <v>0.19</v>
      </c>
      <c r="L6" t="s">
        <v>150</v>
      </c>
      <c r="M6" t="s">
        <v>17</v>
      </c>
      <c r="N6" t="s">
        <v>18</v>
      </c>
    </row>
    <row r="7" spans="1:14" x14ac:dyDescent="0.2">
      <c r="A7" t="s">
        <v>129</v>
      </c>
      <c r="B7" t="s">
        <v>133</v>
      </c>
      <c r="C7">
        <v>2</v>
      </c>
      <c r="D7" t="s">
        <v>134</v>
      </c>
      <c r="E7">
        <v>55.44</v>
      </c>
      <c r="F7">
        <v>0</v>
      </c>
      <c r="G7" t="s">
        <v>129</v>
      </c>
      <c r="H7">
        <v>65.98</v>
      </c>
      <c r="I7" t="s">
        <v>155</v>
      </c>
      <c r="J7">
        <v>0</v>
      </c>
      <c r="K7">
        <v>0.19</v>
      </c>
      <c r="L7" t="s">
        <v>99</v>
      </c>
      <c r="M7" t="s">
        <v>71</v>
      </c>
      <c r="N7" t="s">
        <v>100</v>
      </c>
    </row>
    <row r="8" spans="1:14" x14ac:dyDescent="0.2">
      <c r="A8" t="s">
        <v>129</v>
      </c>
      <c r="B8" t="s">
        <v>130</v>
      </c>
      <c r="C8">
        <v>2</v>
      </c>
      <c r="D8" t="s">
        <v>131</v>
      </c>
      <c r="E8">
        <v>2.84</v>
      </c>
      <c r="F8">
        <v>0</v>
      </c>
      <c r="G8" t="s">
        <v>120</v>
      </c>
      <c r="H8">
        <v>3.38</v>
      </c>
      <c r="I8" t="s">
        <v>155</v>
      </c>
      <c r="J8">
        <v>0</v>
      </c>
      <c r="K8">
        <v>0.19</v>
      </c>
      <c r="L8" t="s">
        <v>132</v>
      </c>
      <c r="M8" t="s">
        <v>71</v>
      </c>
      <c r="N8" t="s">
        <v>45</v>
      </c>
    </row>
    <row r="9" spans="1:14" x14ac:dyDescent="0.2">
      <c r="A9" t="s">
        <v>120</v>
      </c>
      <c r="B9" t="s">
        <v>125</v>
      </c>
      <c r="C9">
        <v>1</v>
      </c>
      <c r="D9" t="s">
        <v>126</v>
      </c>
      <c r="E9">
        <v>46.12</v>
      </c>
      <c r="F9">
        <v>4.1900000000000004</v>
      </c>
      <c r="G9" t="s">
        <v>112</v>
      </c>
      <c r="H9">
        <v>59.87</v>
      </c>
      <c r="I9" t="s">
        <v>155</v>
      </c>
      <c r="J9">
        <v>4.1900000000000004</v>
      </c>
      <c r="K9">
        <v>0.19</v>
      </c>
      <c r="L9" t="s">
        <v>127</v>
      </c>
      <c r="M9" t="s">
        <v>71</v>
      </c>
      <c r="N9" t="s">
        <v>128</v>
      </c>
    </row>
    <row r="10" spans="1:14" x14ac:dyDescent="0.2">
      <c r="A10" t="s">
        <v>120</v>
      </c>
      <c r="B10" t="s">
        <v>121</v>
      </c>
      <c r="C10">
        <v>1</v>
      </c>
      <c r="D10" t="s">
        <v>122</v>
      </c>
      <c r="E10">
        <v>10.18</v>
      </c>
      <c r="F10">
        <v>0</v>
      </c>
      <c r="G10" t="s">
        <v>112</v>
      </c>
      <c r="H10">
        <v>12.12</v>
      </c>
      <c r="I10" t="s">
        <v>155</v>
      </c>
      <c r="J10">
        <v>0</v>
      </c>
      <c r="K10">
        <v>0.19</v>
      </c>
      <c r="L10" t="s">
        <v>123</v>
      </c>
      <c r="M10" t="s">
        <v>56</v>
      </c>
      <c r="N10" t="s">
        <v>124</v>
      </c>
    </row>
    <row r="11" spans="1:14" x14ac:dyDescent="0.2">
      <c r="A11" t="s">
        <v>112</v>
      </c>
      <c r="B11" t="s">
        <v>117</v>
      </c>
      <c r="C11">
        <v>2</v>
      </c>
      <c r="D11" t="s">
        <v>118</v>
      </c>
      <c r="E11">
        <v>12.38</v>
      </c>
      <c r="F11">
        <v>0</v>
      </c>
      <c r="G11" t="s">
        <v>115</v>
      </c>
      <c r="H11">
        <v>14.74</v>
      </c>
      <c r="J11">
        <v>0</v>
      </c>
      <c r="K11">
        <v>0.19</v>
      </c>
      <c r="L11" t="s">
        <v>119</v>
      </c>
      <c r="M11" t="s">
        <v>56</v>
      </c>
      <c r="N11" t="s">
        <v>45</v>
      </c>
    </row>
    <row r="12" spans="1:14" x14ac:dyDescent="0.2">
      <c r="A12" t="s">
        <v>112</v>
      </c>
      <c r="B12" t="s">
        <v>113</v>
      </c>
      <c r="C12">
        <v>1</v>
      </c>
      <c r="D12" t="s">
        <v>114</v>
      </c>
      <c r="E12">
        <v>25.2</v>
      </c>
      <c r="F12">
        <v>0</v>
      </c>
      <c r="G12" t="s">
        <v>115</v>
      </c>
      <c r="H12">
        <v>29.99</v>
      </c>
      <c r="J12">
        <v>0</v>
      </c>
      <c r="K12">
        <v>0.19</v>
      </c>
      <c r="L12" t="s">
        <v>116</v>
      </c>
      <c r="M12" t="s">
        <v>25</v>
      </c>
      <c r="N12" t="s">
        <v>45</v>
      </c>
    </row>
    <row r="13" spans="1:14" x14ac:dyDescent="0.2">
      <c r="A13" t="s">
        <v>108</v>
      </c>
      <c r="B13" t="s">
        <v>109</v>
      </c>
      <c r="C13">
        <v>2</v>
      </c>
      <c r="D13" t="s">
        <v>110</v>
      </c>
      <c r="E13">
        <v>24.37</v>
      </c>
      <c r="F13">
        <v>0</v>
      </c>
      <c r="G13" t="s">
        <v>108</v>
      </c>
      <c r="H13">
        <v>28.99</v>
      </c>
      <c r="J13">
        <v>0</v>
      </c>
      <c r="K13">
        <v>0.19</v>
      </c>
      <c r="L13" t="s">
        <v>111</v>
      </c>
      <c r="M13" t="s">
        <v>56</v>
      </c>
      <c r="N13" t="s">
        <v>45</v>
      </c>
    </row>
    <row r="14" spans="1:14" x14ac:dyDescent="0.2">
      <c r="A14" t="s">
        <v>94</v>
      </c>
      <c r="B14" t="s">
        <v>95</v>
      </c>
      <c r="C14">
        <v>3</v>
      </c>
      <c r="D14" t="s">
        <v>96</v>
      </c>
      <c r="E14">
        <v>79.319999999999993</v>
      </c>
      <c r="F14">
        <v>0</v>
      </c>
      <c r="G14" t="s">
        <v>94</v>
      </c>
      <c r="H14">
        <v>23.88</v>
      </c>
      <c r="J14">
        <v>0</v>
      </c>
      <c r="K14">
        <v>0</v>
      </c>
      <c r="L14" t="s">
        <v>97</v>
      </c>
      <c r="M14" t="s">
        <v>44</v>
      </c>
      <c r="N14" t="s">
        <v>45</v>
      </c>
    </row>
    <row r="15" spans="1:14" x14ac:dyDescent="0.2">
      <c r="A15" t="s">
        <v>101</v>
      </c>
      <c r="B15" t="s">
        <v>105</v>
      </c>
      <c r="C15">
        <v>2</v>
      </c>
      <c r="D15" t="s">
        <v>106</v>
      </c>
      <c r="E15">
        <v>30.08</v>
      </c>
      <c r="F15">
        <v>0</v>
      </c>
      <c r="G15" t="s">
        <v>94</v>
      </c>
      <c r="H15">
        <v>35.79</v>
      </c>
      <c r="J15">
        <v>0</v>
      </c>
      <c r="K15">
        <v>0.19</v>
      </c>
      <c r="L15" t="s">
        <v>107</v>
      </c>
      <c r="M15" t="s">
        <v>17</v>
      </c>
      <c r="N15" t="s">
        <v>100</v>
      </c>
    </row>
    <row r="16" spans="1:14" x14ac:dyDescent="0.2">
      <c r="A16" t="s">
        <v>94</v>
      </c>
      <c r="B16" t="s">
        <v>95</v>
      </c>
      <c r="C16">
        <v>3</v>
      </c>
      <c r="D16" t="s">
        <v>98</v>
      </c>
      <c r="E16">
        <v>79.319999999999993</v>
      </c>
      <c r="F16">
        <v>0</v>
      </c>
      <c r="G16" t="s">
        <v>94</v>
      </c>
      <c r="H16">
        <v>55.44</v>
      </c>
      <c r="J16">
        <v>0</v>
      </c>
      <c r="K16">
        <v>0</v>
      </c>
      <c r="L16" t="s">
        <v>99</v>
      </c>
      <c r="M16" t="s">
        <v>71</v>
      </c>
      <c r="N16" t="s">
        <v>100</v>
      </c>
    </row>
    <row r="17" spans="1:14" x14ac:dyDescent="0.2">
      <c r="A17" t="s">
        <v>101</v>
      </c>
      <c r="B17" t="s">
        <v>102</v>
      </c>
      <c r="C17">
        <v>1</v>
      </c>
      <c r="D17" t="s">
        <v>103</v>
      </c>
      <c r="E17">
        <v>7.99</v>
      </c>
      <c r="F17">
        <v>0</v>
      </c>
      <c r="G17" t="s">
        <v>94</v>
      </c>
      <c r="H17">
        <v>7.99</v>
      </c>
      <c r="J17">
        <v>0</v>
      </c>
      <c r="K17">
        <v>0</v>
      </c>
      <c r="L17" t="s">
        <v>104</v>
      </c>
      <c r="M17" t="s">
        <v>39</v>
      </c>
      <c r="N17" t="s">
        <v>57</v>
      </c>
    </row>
    <row r="18" spans="1:14" x14ac:dyDescent="0.2">
      <c r="A18" t="s">
        <v>85</v>
      </c>
      <c r="B18" t="s">
        <v>89</v>
      </c>
      <c r="C18">
        <v>3</v>
      </c>
      <c r="D18" t="s">
        <v>90</v>
      </c>
      <c r="E18">
        <v>23.93</v>
      </c>
      <c r="F18">
        <v>0</v>
      </c>
      <c r="G18" t="s">
        <v>72</v>
      </c>
      <c r="H18">
        <v>18.98</v>
      </c>
      <c r="J18">
        <v>0</v>
      </c>
      <c r="K18">
        <v>0.19</v>
      </c>
      <c r="L18" t="s">
        <v>91</v>
      </c>
      <c r="M18" t="s">
        <v>17</v>
      </c>
      <c r="N18" t="s">
        <v>50</v>
      </c>
    </row>
    <row r="19" spans="1:14" x14ac:dyDescent="0.2">
      <c r="A19" t="s">
        <v>85</v>
      </c>
      <c r="B19" t="s">
        <v>89</v>
      </c>
      <c r="C19">
        <v>3</v>
      </c>
      <c r="D19" t="s">
        <v>92</v>
      </c>
      <c r="E19">
        <v>23.93</v>
      </c>
      <c r="F19">
        <v>0</v>
      </c>
      <c r="G19" t="s">
        <v>72</v>
      </c>
      <c r="H19">
        <v>7.99</v>
      </c>
      <c r="J19">
        <v>0</v>
      </c>
      <c r="K19">
        <v>0</v>
      </c>
      <c r="L19" t="s">
        <v>93</v>
      </c>
      <c r="M19" t="s">
        <v>17</v>
      </c>
      <c r="N19" t="s">
        <v>50</v>
      </c>
    </row>
    <row r="20" spans="1:14" x14ac:dyDescent="0.2">
      <c r="A20" t="s">
        <v>72</v>
      </c>
      <c r="B20" t="s">
        <v>80</v>
      </c>
      <c r="C20">
        <v>7</v>
      </c>
      <c r="D20" t="s">
        <v>83</v>
      </c>
      <c r="E20">
        <v>55.51</v>
      </c>
      <c r="F20">
        <v>0</v>
      </c>
      <c r="G20" t="s">
        <v>72</v>
      </c>
      <c r="H20">
        <v>46.96</v>
      </c>
      <c r="J20">
        <v>0</v>
      </c>
      <c r="K20">
        <v>0</v>
      </c>
      <c r="L20" t="s">
        <v>84</v>
      </c>
      <c r="M20" t="s">
        <v>56</v>
      </c>
      <c r="N20" t="s">
        <v>45</v>
      </c>
    </row>
    <row r="21" spans="1:14" x14ac:dyDescent="0.2">
      <c r="A21" t="s">
        <v>85</v>
      </c>
      <c r="B21" t="s">
        <v>86</v>
      </c>
      <c r="C21">
        <v>1</v>
      </c>
      <c r="D21" t="s">
        <v>87</v>
      </c>
      <c r="E21">
        <v>8.2899999999999991</v>
      </c>
      <c r="F21">
        <v>0</v>
      </c>
      <c r="G21" t="s">
        <v>72</v>
      </c>
      <c r="H21">
        <v>8.2899999999999991</v>
      </c>
      <c r="J21">
        <v>0</v>
      </c>
      <c r="K21">
        <v>0</v>
      </c>
      <c r="L21" t="s">
        <v>88</v>
      </c>
      <c r="M21" t="s">
        <v>25</v>
      </c>
      <c r="N21" t="s">
        <v>35</v>
      </c>
    </row>
    <row r="22" spans="1:14" x14ac:dyDescent="0.2">
      <c r="A22" t="s">
        <v>72</v>
      </c>
      <c r="B22" t="s">
        <v>77</v>
      </c>
      <c r="C22">
        <v>2</v>
      </c>
      <c r="D22" t="s">
        <v>78</v>
      </c>
      <c r="E22">
        <v>49.32</v>
      </c>
      <c r="F22">
        <v>4.96</v>
      </c>
      <c r="G22" t="s">
        <v>64</v>
      </c>
      <c r="H22">
        <v>64.59</v>
      </c>
      <c r="J22">
        <v>4.96</v>
      </c>
      <c r="K22">
        <v>0.19</v>
      </c>
      <c r="L22" t="s">
        <v>79</v>
      </c>
      <c r="M22" t="s">
        <v>44</v>
      </c>
      <c r="N22" t="s">
        <v>45</v>
      </c>
    </row>
    <row r="23" spans="1:14" x14ac:dyDescent="0.2">
      <c r="A23" t="s">
        <v>72</v>
      </c>
      <c r="B23" t="s">
        <v>80</v>
      </c>
      <c r="C23">
        <v>7</v>
      </c>
      <c r="D23" t="s">
        <v>81</v>
      </c>
      <c r="E23">
        <v>55.51</v>
      </c>
      <c r="F23">
        <v>0</v>
      </c>
      <c r="G23" t="s">
        <v>64</v>
      </c>
      <c r="H23">
        <v>10.199999999999999</v>
      </c>
      <c r="J23">
        <v>0</v>
      </c>
      <c r="K23">
        <v>0.19</v>
      </c>
      <c r="L23" t="s">
        <v>82</v>
      </c>
      <c r="M23" t="s">
        <v>34</v>
      </c>
      <c r="N23" t="s">
        <v>35</v>
      </c>
    </row>
    <row r="24" spans="1:14" x14ac:dyDescent="0.2">
      <c r="A24" t="s">
        <v>72</v>
      </c>
      <c r="B24" t="s">
        <v>73</v>
      </c>
      <c r="C24">
        <v>2</v>
      </c>
      <c r="D24" t="s">
        <v>74</v>
      </c>
      <c r="E24">
        <v>33.6</v>
      </c>
      <c r="F24">
        <v>4.1900000000000004</v>
      </c>
      <c r="G24" t="s">
        <v>67</v>
      </c>
      <c r="H24">
        <v>39.979999999999997</v>
      </c>
      <c r="J24">
        <v>4.1900000000000004</v>
      </c>
      <c r="K24">
        <v>0.19</v>
      </c>
      <c r="L24" t="s">
        <v>75</v>
      </c>
      <c r="M24" t="s">
        <v>56</v>
      </c>
      <c r="N24" t="s">
        <v>76</v>
      </c>
    </row>
    <row r="25" spans="1:14" x14ac:dyDescent="0.2">
      <c r="A25" t="s">
        <v>64</v>
      </c>
      <c r="B25" t="s">
        <v>65</v>
      </c>
      <c r="C25">
        <v>2</v>
      </c>
      <c r="D25" t="s">
        <v>66</v>
      </c>
      <c r="E25">
        <v>35.29</v>
      </c>
      <c r="F25">
        <v>0</v>
      </c>
      <c r="G25" t="s">
        <v>67</v>
      </c>
      <c r="H25">
        <v>12.6</v>
      </c>
      <c r="J25">
        <v>0</v>
      </c>
      <c r="K25">
        <v>0</v>
      </c>
      <c r="L25" t="s">
        <v>68</v>
      </c>
      <c r="M25" t="s">
        <v>56</v>
      </c>
      <c r="N25" t="s">
        <v>50</v>
      </c>
    </row>
    <row r="26" spans="1:14" x14ac:dyDescent="0.2">
      <c r="A26" t="s">
        <v>64</v>
      </c>
      <c r="B26" t="s">
        <v>65</v>
      </c>
      <c r="C26">
        <v>2</v>
      </c>
      <c r="D26" t="s">
        <v>69</v>
      </c>
      <c r="E26">
        <v>35.29</v>
      </c>
      <c r="F26">
        <v>0</v>
      </c>
      <c r="G26" t="s">
        <v>67</v>
      </c>
      <c r="H26">
        <v>22.69</v>
      </c>
      <c r="J26">
        <v>0</v>
      </c>
      <c r="K26">
        <v>0</v>
      </c>
      <c r="L26" t="s">
        <v>70</v>
      </c>
      <c r="M26" t="s">
        <v>71</v>
      </c>
      <c r="N26" t="s">
        <v>26</v>
      </c>
    </row>
    <row r="27" spans="1:14" x14ac:dyDescent="0.2">
      <c r="A27" t="s">
        <v>51</v>
      </c>
      <c r="B27" t="s">
        <v>52</v>
      </c>
      <c r="C27">
        <v>2</v>
      </c>
      <c r="D27" t="s">
        <v>58</v>
      </c>
      <c r="E27">
        <v>38.880000000000003</v>
      </c>
      <c r="F27">
        <v>0</v>
      </c>
      <c r="G27" t="s">
        <v>54</v>
      </c>
      <c r="H27">
        <v>6.89</v>
      </c>
      <c r="J27">
        <v>0</v>
      </c>
      <c r="K27">
        <v>0</v>
      </c>
      <c r="L27" t="s">
        <v>59</v>
      </c>
      <c r="M27" t="s">
        <v>56</v>
      </c>
      <c r="N27" t="s">
        <v>60</v>
      </c>
    </row>
    <row r="28" spans="1:14" x14ac:dyDescent="0.2">
      <c r="A28" t="s">
        <v>51</v>
      </c>
      <c r="B28" t="s">
        <v>52</v>
      </c>
      <c r="C28">
        <v>2</v>
      </c>
      <c r="D28" t="s">
        <v>53</v>
      </c>
      <c r="E28">
        <v>38.880000000000003</v>
      </c>
      <c r="F28">
        <v>0</v>
      </c>
      <c r="G28" t="s">
        <v>54</v>
      </c>
      <c r="H28">
        <v>31.99</v>
      </c>
      <c r="J28">
        <v>0</v>
      </c>
      <c r="K28">
        <v>0</v>
      </c>
      <c r="L28" t="s">
        <v>55</v>
      </c>
      <c r="M28" t="s">
        <v>56</v>
      </c>
      <c r="N28" t="s">
        <v>57</v>
      </c>
    </row>
    <row r="29" spans="1:14" x14ac:dyDescent="0.2">
      <c r="A29" t="s">
        <v>51</v>
      </c>
      <c r="B29" t="s">
        <v>61</v>
      </c>
      <c r="C29">
        <v>1</v>
      </c>
      <c r="D29" t="s">
        <v>62</v>
      </c>
      <c r="E29">
        <v>15.98</v>
      </c>
      <c r="F29">
        <v>0</v>
      </c>
      <c r="G29" t="s">
        <v>54</v>
      </c>
      <c r="H29">
        <v>19.02</v>
      </c>
      <c r="J29">
        <v>0</v>
      </c>
      <c r="K29">
        <v>0.19</v>
      </c>
      <c r="L29" t="s">
        <v>63</v>
      </c>
      <c r="M29" t="s">
        <v>34</v>
      </c>
      <c r="N29" t="s">
        <v>60</v>
      </c>
    </row>
    <row r="30" spans="1:14" x14ac:dyDescent="0.2">
      <c r="A30" t="s">
        <v>40</v>
      </c>
      <c r="B30" t="s">
        <v>46</v>
      </c>
      <c r="C30">
        <v>2</v>
      </c>
      <c r="D30" t="s">
        <v>47</v>
      </c>
      <c r="E30">
        <v>13.92</v>
      </c>
      <c r="F30">
        <v>0</v>
      </c>
      <c r="G30" t="s">
        <v>48</v>
      </c>
      <c r="H30">
        <v>13.92</v>
      </c>
      <c r="J30">
        <v>0</v>
      </c>
      <c r="K30">
        <v>0</v>
      </c>
      <c r="L30" t="s">
        <v>49</v>
      </c>
      <c r="M30" t="s">
        <v>17</v>
      </c>
      <c r="N30" t="s">
        <v>50</v>
      </c>
    </row>
    <row r="31" spans="1:14" x14ac:dyDescent="0.2">
      <c r="A31" t="s">
        <v>40</v>
      </c>
      <c r="B31" t="s">
        <v>41</v>
      </c>
      <c r="C31">
        <v>1</v>
      </c>
      <c r="D31" t="s">
        <v>42</v>
      </c>
      <c r="E31">
        <v>8.36</v>
      </c>
      <c r="F31">
        <v>2.48</v>
      </c>
      <c r="G31" t="s">
        <v>30</v>
      </c>
      <c r="H31">
        <v>12.9</v>
      </c>
      <c r="J31">
        <v>2.48</v>
      </c>
      <c r="K31">
        <v>0.19</v>
      </c>
      <c r="L31" t="s">
        <v>43</v>
      </c>
      <c r="M31" t="s">
        <v>44</v>
      </c>
      <c r="N31" t="s">
        <v>45</v>
      </c>
    </row>
    <row r="32" spans="1:14" x14ac:dyDescent="0.2">
      <c r="A32" t="s">
        <v>30</v>
      </c>
      <c r="B32" t="s">
        <v>36</v>
      </c>
      <c r="C32">
        <v>1</v>
      </c>
      <c r="D32" t="s">
        <v>37</v>
      </c>
      <c r="E32">
        <v>18.850000000000001</v>
      </c>
      <c r="F32">
        <v>0</v>
      </c>
      <c r="G32" t="s">
        <v>30</v>
      </c>
      <c r="H32">
        <v>18.850000000000001</v>
      </c>
      <c r="J32">
        <v>0</v>
      </c>
      <c r="K32">
        <v>0</v>
      </c>
      <c r="L32" t="s">
        <v>38</v>
      </c>
      <c r="M32" t="s">
        <v>39</v>
      </c>
      <c r="N32" t="s">
        <v>35</v>
      </c>
    </row>
    <row r="33" spans="1:14" x14ac:dyDescent="0.2">
      <c r="A33" t="s">
        <v>30</v>
      </c>
      <c r="B33" t="s">
        <v>31</v>
      </c>
      <c r="C33">
        <v>1</v>
      </c>
      <c r="D33" t="s">
        <v>32</v>
      </c>
      <c r="E33">
        <v>13.14</v>
      </c>
      <c r="F33">
        <v>0</v>
      </c>
      <c r="G33" t="s">
        <v>19</v>
      </c>
      <c r="H33">
        <v>13.14</v>
      </c>
      <c r="J33">
        <v>0</v>
      </c>
      <c r="K33">
        <v>0</v>
      </c>
      <c r="L33" t="s">
        <v>33</v>
      </c>
      <c r="M33" t="s">
        <v>34</v>
      </c>
      <c r="N33" t="s">
        <v>35</v>
      </c>
    </row>
    <row r="34" spans="1:14" x14ac:dyDescent="0.2">
      <c r="A34" t="s">
        <v>19</v>
      </c>
      <c r="B34" t="s">
        <v>20</v>
      </c>
      <c r="C34">
        <v>3</v>
      </c>
      <c r="D34" t="s">
        <v>21</v>
      </c>
      <c r="E34">
        <v>16.78</v>
      </c>
      <c r="F34">
        <v>0</v>
      </c>
      <c r="G34" t="s">
        <v>12</v>
      </c>
      <c r="H34">
        <v>11.91</v>
      </c>
      <c r="J34">
        <v>0</v>
      </c>
      <c r="K34">
        <v>0</v>
      </c>
      <c r="L34" t="s">
        <v>22</v>
      </c>
      <c r="M34" t="s">
        <v>17</v>
      </c>
      <c r="N34" t="s">
        <v>18</v>
      </c>
    </row>
    <row r="35" spans="1:14" x14ac:dyDescent="0.2">
      <c r="A35" t="s">
        <v>19</v>
      </c>
      <c r="B35" t="s">
        <v>27</v>
      </c>
      <c r="C35">
        <v>1</v>
      </c>
      <c r="D35" t="s">
        <v>28</v>
      </c>
      <c r="E35">
        <v>8.2100000000000009</v>
      </c>
      <c r="F35">
        <v>0</v>
      </c>
      <c r="G35" t="s">
        <v>12</v>
      </c>
      <c r="H35">
        <v>8.2100000000000009</v>
      </c>
      <c r="J35">
        <v>0</v>
      </c>
      <c r="K35">
        <v>0</v>
      </c>
      <c r="L35" t="s">
        <v>29</v>
      </c>
      <c r="M35" t="s">
        <v>17</v>
      </c>
      <c r="N35" t="s">
        <v>18</v>
      </c>
    </row>
    <row r="36" spans="1:14" x14ac:dyDescent="0.2">
      <c r="A36" t="s">
        <v>19</v>
      </c>
      <c r="B36" t="s">
        <v>20</v>
      </c>
      <c r="C36">
        <v>3</v>
      </c>
      <c r="D36" t="s">
        <v>23</v>
      </c>
      <c r="E36">
        <v>16.78</v>
      </c>
      <c r="F36">
        <v>0</v>
      </c>
      <c r="G36" t="s">
        <v>12</v>
      </c>
      <c r="H36">
        <v>4.87</v>
      </c>
      <c r="J36">
        <v>0</v>
      </c>
      <c r="K36">
        <v>0</v>
      </c>
      <c r="L36" t="s">
        <v>24</v>
      </c>
      <c r="M36" t="s">
        <v>25</v>
      </c>
      <c r="N36" t="s">
        <v>26</v>
      </c>
    </row>
    <row r="37" spans="1:14" x14ac:dyDescent="0.2">
      <c r="A37" t="s">
        <v>12</v>
      </c>
      <c r="B37" t="s">
        <v>13</v>
      </c>
      <c r="C37">
        <v>1</v>
      </c>
      <c r="D37" t="s">
        <v>14</v>
      </c>
      <c r="E37">
        <v>32.54</v>
      </c>
      <c r="F37">
        <v>0</v>
      </c>
      <c r="G37" t="s">
        <v>15</v>
      </c>
      <c r="H37">
        <v>38.72</v>
      </c>
      <c r="J37">
        <v>0</v>
      </c>
      <c r="K37">
        <v>0.19</v>
      </c>
      <c r="L37" t="s">
        <v>16</v>
      </c>
      <c r="M37" t="s">
        <v>17</v>
      </c>
      <c r="N37" t="s">
        <v>18</v>
      </c>
    </row>
    <row r="38" spans="1:14" x14ac:dyDescent="0.2">
      <c r="H38">
        <f>SUM(Tabelle1[Zahlungsbetrag])</f>
        <v>920.05000000000018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C620-78EB-E542-836B-F53692602932}">
  <dimension ref="A1:E39"/>
  <sheetViews>
    <sheetView workbookViewId="0">
      <selection activeCell="E41" sqref="E41"/>
    </sheetView>
  </sheetViews>
  <sheetFormatPr baseColWidth="10" defaultRowHeight="15" x14ac:dyDescent="0.2"/>
  <cols>
    <col min="1" max="1" width="7.33203125" bestFit="1" customWidth="1"/>
    <col min="2" max="2" width="41.6640625" bestFit="1" customWidth="1"/>
    <col min="3" max="3" width="49.5" bestFit="1" customWidth="1"/>
    <col min="4" max="4" width="11" bestFit="1" customWidth="1"/>
    <col min="5" max="5" width="6.6640625" bestFit="1" customWidth="1"/>
  </cols>
  <sheetData>
    <row r="1" spans="1:5" x14ac:dyDescent="0.2">
      <c r="A1" t="s">
        <v>156</v>
      </c>
      <c r="B1" t="s">
        <v>157</v>
      </c>
      <c r="C1" t="s">
        <v>158</v>
      </c>
      <c r="D1" t="s">
        <v>159</v>
      </c>
      <c r="E1" t="s">
        <v>160</v>
      </c>
    </row>
    <row r="2" spans="1:5" x14ac:dyDescent="0.2">
      <c r="A2" t="s">
        <v>161</v>
      </c>
      <c r="B2" t="s">
        <v>162</v>
      </c>
      <c r="C2" t="s">
        <v>163</v>
      </c>
      <c r="D2" t="s">
        <v>164</v>
      </c>
      <c r="E2">
        <v>-38.72</v>
      </c>
    </row>
    <row r="3" spans="1:5" x14ac:dyDescent="0.2">
      <c r="A3" t="s">
        <v>161</v>
      </c>
      <c r="B3" t="s">
        <v>162</v>
      </c>
      <c r="C3" t="s">
        <v>165</v>
      </c>
      <c r="D3" t="s">
        <v>166</v>
      </c>
      <c r="E3">
        <v>-8.2100000000000009</v>
      </c>
    </row>
    <row r="4" spans="1:5" x14ac:dyDescent="0.2">
      <c r="A4" t="s">
        <v>161</v>
      </c>
      <c r="B4" t="s">
        <v>167</v>
      </c>
      <c r="C4" t="s">
        <v>168</v>
      </c>
      <c r="D4" t="s">
        <v>169</v>
      </c>
      <c r="E4">
        <v>-4.87</v>
      </c>
    </row>
    <row r="5" spans="1:5" x14ac:dyDescent="0.2">
      <c r="A5" t="s">
        <v>161</v>
      </c>
      <c r="B5" t="s">
        <v>167</v>
      </c>
      <c r="C5" t="s">
        <v>170</v>
      </c>
      <c r="D5" t="s">
        <v>169</v>
      </c>
      <c r="E5">
        <v>-11.91</v>
      </c>
    </row>
    <row r="6" spans="1:5" x14ac:dyDescent="0.2">
      <c r="A6" t="s">
        <v>161</v>
      </c>
      <c r="B6" t="s">
        <v>167</v>
      </c>
      <c r="C6" t="s">
        <v>171</v>
      </c>
      <c r="D6" t="s">
        <v>172</v>
      </c>
      <c r="E6">
        <v>-18.850000000000001</v>
      </c>
    </row>
    <row r="7" spans="1:5" x14ac:dyDescent="0.2">
      <c r="A7" t="s">
        <v>161</v>
      </c>
      <c r="B7" t="s">
        <v>167</v>
      </c>
      <c r="C7" t="s">
        <v>173</v>
      </c>
      <c r="D7" t="s">
        <v>172</v>
      </c>
      <c r="E7">
        <v>-13.14</v>
      </c>
    </row>
    <row r="8" spans="1:5" x14ac:dyDescent="0.2">
      <c r="A8" t="s">
        <v>161</v>
      </c>
      <c r="B8" t="s">
        <v>167</v>
      </c>
      <c r="C8" t="s">
        <v>174</v>
      </c>
      <c r="D8" t="s">
        <v>172</v>
      </c>
      <c r="E8">
        <v>-12.9</v>
      </c>
    </row>
    <row r="9" spans="1:5" x14ac:dyDescent="0.2">
      <c r="A9" t="s">
        <v>161</v>
      </c>
      <c r="B9" t="s">
        <v>167</v>
      </c>
      <c r="C9" t="s">
        <v>175</v>
      </c>
      <c r="D9" t="s">
        <v>176</v>
      </c>
      <c r="E9">
        <v>-13.92</v>
      </c>
    </row>
    <row r="10" spans="1:5" x14ac:dyDescent="0.2">
      <c r="A10" t="s">
        <v>161</v>
      </c>
      <c r="B10" t="s">
        <v>167</v>
      </c>
      <c r="C10" t="s">
        <v>177</v>
      </c>
      <c r="D10" t="s">
        <v>178</v>
      </c>
      <c r="E10">
        <v>-31.99</v>
      </c>
    </row>
    <row r="11" spans="1:5" x14ac:dyDescent="0.2">
      <c r="A11" t="s">
        <v>161</v>
      </c>
      <c r="B11" t="s">
        <v>167</v>
      </c>
      <c r="C11" t="s">
        <v>179</v>
      </c>
      <c r="D11" t="s">
        <v>178</v>
      </c>
      <c r="E11">
        <v>-6.89</v>
      </c>
    </row>
    <row r="12" spans="1:5" x14ac:dyDescent="0.2">
      <c r="A12" t="s">
        <v>161</v>
      </c>
      <c r="B12" t="s">
        <v>167</v>
      </c>
      <c r="C12" t="s">
        <v>180</v>
      </c>
      <c r="D12" t="s">
        <v>178</v>
      </c>
      <c r="E12">
        <v>-19.02</v>
      </c>
    </row>
    <row r="13" spans="1:5" x14ac:dyDescent="0.2">
      <c r="A13" t="s">
        <v>161</v>
      </c>
      <c r="B13" t="s">
        <v>167</v>
      </c>
      <c r="C13" t="s">
        <v>181</v>
      </c>
      <c r="D13" t="s">
        <v>182</v>
      </c>
      <c r="E13">
        <v>-22.69</v>
      </c>
    </row>
    <row r="14" spans="1:5" x14ac:dyDescent="0.2">
      <c r="A14" t="s">
        <v>161</v>
      </c>
      <c r="B14" t="s">
        <v>167</v>
      </c>
      <c r="C14" t="s">
        <v>183</v>
      </c>
      <c r="D14" t="s">
        <v>182</v>
      </c>
      <c r="E14">
        <v>-12.6</v>
      </c>
    </row>
    <row r="15" spans="1:5" x14ac:dyDescent="0.2">
      <c r="A15" t="s">
        <v>161</v>
      </c>
      <c r="B15" t="s">
        <v>167</v>
      </c>
      <c r="C15" t="s">
        <v>184</v>
      </c>
      <c r="D15" t="s">
        <v>182</v>
      </c>
      <c r="E15">
        <v>-39.979999999999997</v>
      </c>
    </row>
    <row r="16" spans="1:5" x14ac:dyDescent="0.2">
      <c r="A16" t="s">
        <v>161</v>
      </c>
      <c r="B16" t="s">
        <v>167</v>
      </c>
      <c r="C16" t="s">
        <v>185</v>
      </c>
      <c r="D16" t="s">
        <v>186</v>
      </c>
      <c r="E16">
        <v>-8.2899999999999991</v>
      </c>
    </row>
    <row r="17" spans="1:5" x14ac:dyDescent="0.2">
      <c r="A17" t="s">
        <v>161</v>
      </c>
      <c r="B17" t="s">
        <v>162</v>
      </c>
      <c r="C17" t="s">
        <v>187</v>
      </c>
      <c r="D17" t="s">
        <v>186</v>
      </c>
      <c r="E17">
        <v>-10.199999999999999</v>
      </c>
    </row>
    <row r="18" spans="1:5" x14ac:dyDescent="0.2">
      <c r="A18" t="s">
        <v>161</v>
      </c>
      <c r="B18" t="s">
        <v>162</v>
      </c>
      <c r="C18" t="s">
        <v>188</v>
      </c>
      <c r="D18" t="s">
        <v>186</v>
      </c>
      <c r="E18">
        <v>-46.96</v>
      </c>
    </row>
    <row r="19" spans="1:5" x14ac:dyDescent="0.2">
      <c r="A19" t="s">
        <v>161</v>
      </c>
      <c r="B19" t="s">
        <v>167</v>
      </c>
      <c r="C19" t="s">
        <v>189</v>
      </c>
      <c r="D19" t="s">
        <v>186</v>
      </c>
      <c r="E19">
        <v>-18.98</v>
      </c>
    </row>
    <row r="20" spans="1:5" x14ac:dyDescent="0.2">
      <c r="A20" t="s">
        <v>161</v>
      </c>
      <c r="B20" t="s">
        <v>167</v>
      </c>
      <c r="C20" t="s">
        <v>190</v>
      </c>
      <c r="D20" t="s">
        <v>186</v>
      </c>
      <c r="E20">
        <v>-64.59</v>
      </c>
    </row>
    <row r="21" spans="1:5" x14ac:dyDescent="0.2">
      <c r="A21" t="s">
        <v>161</v>
      </c>
      <c r="B21" t="s">
        <v>167</v>
      </c>
      <c r="C21" t="s">
        <v>191</v>
      </c>
      <c r="D21" t="s">
        <v>186</v>
      </c>
      <c r="E21">
        <v>-7.99</v>
      </c>
    </row>
    <row r="22" spans="1:5" x14ac:dyDescent="0.2">
      <c r="A22" t="s">
        <v>161</v>
      </c>
      <c r="B22" t="s">
        <v>192</v>
      </c>
      <c r="C22" t="s">
        <v>193</v>
      </c>
      <c r="D22" t="s">
        <v>194</v>
      </c>
    </row>
    <row r="23" spans="1:5" x14ac:dyDescent="0.2">
      <c r="A23" t="s">
        <v>161</v>
      </c>
      <c r="B23" t="s">
        <v>167</v>
      </c>
      <c r="C23" t="s">
        <v>195</v>
      </c>
      <c r="D23" t="s">
        <v>196</v>
      </c>
      <c r="E23">
        <v>-23.88</v>
      </c>
    </row>
    <row r="24" spans="1:5" x14ac:dyDescent="0.2">
      <c r="A24" t="s">
        <v>161</v>
      </c>
      <c r="B24" t="s">
        <v>167</v>
      </c>
      <c r="C24" t="s">
        <v>197</v>
      </c>
      <c r="D24" t="s">
        <v>196</v>
      </c>
      <c r="E24">
        <v>-55.44</v>
      </c>
    </row>
    <row r="25" spans="1:5" x14ac:dyDescent="0.2">
      <c r="A25" t="s">
        <v>161</v>
      </c>
      <c r="B25" t="s">
        <v>167</v>
      </c>
      <c r="C25" t="s">
        <v>198</v>
      </c>
      <c r="D25" t="s">
        <v>199</v>
      </c>
      <c r="E25">
        <v>-35.79</v>
      </c>
    </row>
    <row r="26" spans="1:5" x14ac:dyDescent="0.2">
      <c r="A26" t="s">
        <v>161</v>
      </c>
      <c r="B26" t="s">
        <v>167</v>
      </c>
      <c r="C26" t="s">
        <v>200</v>
      </c>
      <c r="D26" t="s">
        <v>199</v>
      </c>
      <c r="E26">
        <v>-7.99</v>
      </c>
    </row>
    <row r="27" spans="1:5" x14ac:dyDescent="0.2">
      <c r="A27" t="s">
        <v>161</v>
      </c>
      <c r="B27" t="s">
        <v>167</v>
      </c>
      <c r="C27" t="s">
        <v>201</v>
      </c>
      <c r="D27" t="s">
        <v>202</v>
      </c>
      <c r="E27">
        <v>-28.99</v>
      </c>
    </row>
    <row r="28" spans="1:5" x14ac:dyDescent="0.2">
      <c r="A28" t="s">
        <v>161</v>
      </c>
      <c r="B28" t="s">
        <v>203</v>
      </c>
      <c r="C28" t="s">
        <v>204</v>
      </c>
      <c r="D28" t="s">
        <v>205</v>
      </c>
      <c r="E28">
        <v>-14.74</v>
      </c>
    </row>
    <row r="29" spans="1:5" x14ac:dyDescent="0.2">
      <c r="A29" t="s">
        <v>161</v>
      </c>
      <c r="B29" t="s">
        <v>167</v>
      </c>
      <c r="C29" t="s">
        <v>206</v>
      </c>
      <c r="D29" t="s">
        <v>205</v>
      </c>
      <c r="E29">
        <v>-29.99</v>
      </c>
    </row>
    <row r="30" spans="1:5" x14ac:dyDescent="0.2">
      <c r="A30" t="s">
        <v>161</v>
      </c>
      <c r="B30" t="s">
        <v>167</v>
      </c>
      <c r="C30" t="s">
        <v>207</v>
      </c>
      <c r="D30" t="s">
        <v>208</v>
      </c>
      <c r="E30">
        <v>-59.87</v>
      </c>
    </row>
    <row r="31" spans="1:5" x14ac:dyDescent="0.2">
      <c r="A31" t="s">
        <v>161</v>
      </c>
      <c r="B31" t="s">
        <v>203</v>
      </c>
      <c r="C31" t="s">
        <v>209</v>
      </c>
      <c r="D31" t="s">
        <v>208</v>
      </c>
      <c r="E31">
        <v>-12.12</v>
      </c>
    </row>
    <row r="32" spans="1:5" x14ac:dyDescent="0.2">
      <c r="A32" t="s">
        <v>161</v>
      </c>
      <c r="B32" t="s">
        <v>203</v>
      </c>
      <c r="C32" t="s">
        <v>210</v>
      </c>
      <c r="D32" t="s">
        <v>211</v>
      </c>
      <c r="E32">
        <v>-65.98</v>
      </c>
    </row>
    <row r="33" spans="1:5" x14ac:dyDescent="0.2">
      <c r="A33" t="s">
        <v>161</v>
      </c>
      <c r="B33" t="s">
        <v>203</v>
      </c>
      <c r="C33" t="s">
        <v>212</v>
      </c>
      <c r="D33" t="s">
        <v>211</v>
      </c>
      <c r="E33">
        <v>-3.38</v>
      </c>
    </row>
    <row r="34" spans="1:5" x14ac:dyDescent="0.2">
      <c r="A34" t="s">
        <v>161</v>
      </c>
      <c r="B34" t="s">
        <v>203</v>
      </c>
      <c r="C34" t="s">
        <v>213</v>
      </c>
      <c r="D34" t="s">
        <v>214</v>
      </c>
      <c r="E34">
        <v>-26.99</v>
      </c>
    </row>
    <row r="35" spans="1:5" x14ac:dyDescent="0.2">
      <c r="A35" t="s">
        <v>161</v>
      </c>
      <c r="B35" t="s">
        <v>203</v>
      </c>
      <c r="C35" t="s">
        <v>215</v>
      </c>
      <c r="D35" t="s">
        <v>214</v>
      </c>
      <c r="E35">
        <v>-33.549999999999997</v>
      </c>
    </row>
    <row r="36" spans="1:5" x14ac:dyDescent="0.2">
      <c r="A36" t="s">
        <v>161</v>
      </c>
      <c r="B36" t="s">
        <v>167</v>
      </c>
      <c r="C36" t="s">
        <v>216</v>
      </c>
      <c r="D36" t="s">
        <v>214</v>
      </c>
      <c r="E36">
        <v>-67.180000000000007</v>
      </c>
    </row>
    <row r="37" spans="1:5" x14ac:dyDescent="0.2">
      <c r="A37" t="s">
        <v>161</v>
      </c>
      <c r="B37" t="s">
        <v>167</v>
      </c>
      <c r="C37" t="s">
        <v>217</v>
      </c>
      <c r="D37" t="s">
        <v>214</v>
      </c>
      <c r="E37">
        <v>-7.91</v>
      </c>
    </row>
    <row r="38" spans="1:5" x14ac:dyDescent="0.2">
      <c r="A38" t="s">
        <v>161</v>
      </c>
      <c r="B38" t="s">
        <v>203</v>
      </c>
      <c r="C38" t="s">
        <v>218</v>
      </c>
      <c r="D38" t="s">
        <v>214</v>
      </c>
      <c r="E38">
        <v>-33.549999999999997</v>
      </c>
    </row>
    <row r="39" spans="1:5" x14ac:dyDescent="0.2">
      <c r="E39">
        <f>SUM(E2:E38)</f>
        <v>-920.05000000000007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Sheet1</vt:lpstr>
      <vt:lpstr>Tabelle1</vt:lpstr>
      <vt:lpstr>Tabelle1!transactions_5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Schmidt</cp:lastModifiedBy>
  <dcterms:created xsi:type="dcterms:W3CDTF">2024-12-06T10:24:10Z</dcterms:created>
  <dcterms:modified xsi:type="dcterms:W3CDTF">2024-12-06T10:33:40Z</dcterms:modified>
</cp:coreProperties>
</file>